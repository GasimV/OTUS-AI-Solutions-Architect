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oftware\GitHub OTUS AI Solutions Architect\Homework-Tasks\ДЗ-7. Sizing - Расчёт ресурсов инфраструктуры и стоимости инференса\"/>
    </mc:Choice>
  </mc:AlternateContent>
  <xr:revisionPtr revIDLastSave="0" documentId="13_ncr:1_{659D4167-15E7-469E-AA06-015D7B9773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Hardware Sizing" sheetId="1" r:id="rId1"/>
    <sheet name="2. Cloud Comparison" sheetId="2" r:id="rId2"/>
    <sheet name="3. Optimization" sheetId="3" r:id="rId3"/>
    <sheet name="4. Recommendation" sheetId="4" r:id="rId4"/>
  </sheets>
  <calcPr calcId="181029"/>
</workbook>
</file>

<file path=xl/calcChain.xml><?xml version="1.0" encoding="utf-8"?>
<calcChain xmlns="http://schemas.openxmlformats.org/spreadsheetml/2006/main">
  <c r="C19" i="3" l="1"/>
  <c r="D19" i="3" s="1"/>
  <c r="C18" i="3"/>
  <c r="D18" i="3" s="1"/>
  <c r="C17" i="3"/>
  <c r="D17" i="3" s="1"/>
  <c r="C16" i="3"/>
  <c r="E24" i="2"/>
  <c r="D24" i="2"/>
  <c r="C24" i="2"/>
  <c r="D23" i="2"/>
  <c r="C23" i="2"/>
  <c r="E23" i="2" s="1"/>
  <c r="D22" i="2"/>
  <c r="C22" i="2"/>
  <c r="E22" i="2" s="1"/>
  <c r="D21" i="2"/>
  <c r="E21" i="2" s="1"/>
  <c r="C21" i="2"/>
  <c r="D14" i="2"/>
  <c r="D13" i="2"/>
  <c r="D12" i="2"/>
  <c r="D7" i="2"/>
  <c r="D6" i="2"/>
  <c r="D5" i="2"/>
  <c r="C20" i="1"/>
  <c r="C18" i="1"/>
  <c r="B18" i="1"/>
  <c r="B20" i="1" s="1"/>
  <c r="C14" i="1"/>
  <c r="B14" i="1"/>
  <c r="C6" i="1"/>
  <c r="B6" i="1"/>
  <c r="C21" i="1" l="1"/>
  <c r="C23" i="1" s="1"/>
  <c r="B21" i="1"/>
  <c r="B23" i="1" s="1"/>
  <c r="B43" i="1" l="1"/>
  <c r="D43" i="1" s="1"/>
  <c r="B42" i="1"/>
  <c r="D42" i="1" s="1"/>
  <c r="B41" i="1"/>
  <c r="D41" i="1" s="1"/>
  <c r="B40" i="1"/>
  <c r="D40" i="1" s="1"/>
  <c r="B39" i="1"/>
  <c r="D39" i="1" s="1"/>
  <c r="B38" i="1"/>
  <c r="D38" i="1" s="1"/>
</calcChain>
</file>

<file path=xl/sharedStrings.xml><?xml version="1.0" encoding="utf-8"?>
<sst xmlns="http://schemas.openxmlformats.org/spreadsheetml/2006/main" count="186" uniqueCount="163">
  <si>
    <t>VRAM SIZING: LLAMA-3-70B</t>
  </si>
  <si>
    <t>Parameter</t>
  </si>
  <si>
    <t>FP16</t>
  </si>
  <si>
    <t>INT4</t>
  </si>
  <si>
    <t>Note</t>
  </si>
  <si>
    <t>Parameters (billions)</t>
  </si>
  <si>
    <t>Llama-3-70B</t>
  </si>
  <si>
    <t>Bytes per parameter (model weights)</t>
  </si>
  <si>
    <t>FP16 = 2 bytes, INT4 = 0.5 bytes</t>
  </si>
  <si>
    <t>Model size (GiB)</t>
  </si>
  <si>
    <t>params * 1e9 * bytes_per_param / 1024^3</t>
  </si>
  <si>
    <t>--- KV Cache (per request) ---</t>
  </si>
  <si>
    <t>Layers</t>
  </si>
  <si>
    <t>Llama-3-70B: 80 transformer layers</t>
  </si>
  <si>
    <t>head_dim</t>
  </si>
  <si>
    <t>hidden_size / num_heads = 8192 / 64 = 128</t>
  </si>
  <si>
    <t>num_kv_heads</t>
  </si>
  <si>
    <t>GQA: 8 KV-head groups</t>
  </si>
  <si>
    <t>seq_len (tokens)</t>
  </si>
  <si>
    <t>Average request ~ 2048 tokens</t>
  </si>
  <si>
    <t>[TOGGLE] KV cache dtype (bytes per element)</t>
  </si>
  <si>
    <t>CHANGE THIS: FP16=2, INT4=0.5 (recalculates below)</t>
  </si>
  <si>
    <t>KV Cache per request (MiB)</t>
  </si>
  <si>
    <t>2 * layers * kv_heads * head_dim * seq_len * dtype / 1024^2</t>
  </si>
  <si>
    <t>--- Throughput &amp; Concurrency ---</t>
  </si>
  <si>
    <t>Target RPM</t>
  </si>
  <si>
    <t>Requirement</t>
  </si>
  <si>
    <t>Target RPS</t>
  </si>
  <si>
    <t>RPM / 60</t>
  </si>
  <si>
    <t>Average latency (sec)</t>
  </si>
  <si>
    <t>Typical for 70B model inference</t>
  </si>
  <si>
    <t>Concurrency (simultaneous requests)</t>
  </si>
  <si>
    <t>RPS * Latency (Little's Law)</t>
  </si>
  <si>
    <t>KV Cache total (GiB)</t>
  </si>
  <si>
    <t>KV_per_request_MiB * concurrency / 1024</t>
  </si>
  <si>
    <t>TOTAL VRAM (GiB)</t>
  </si>
  <si>
    <t>Model_GiB + KV_total_GiB</t>
  </si>
  <si>
    <t>GPU CATALOGUE</t>
  </si>
  <si>
    <t>GPU</t>
  </si>
  <si>
    <t>VRAM (GiB)</t>
  </si>
  <si>
    <t>FP16 TFLOPS</t>
  </si>
  <si>
    <t>NVIDIA A100 80 GiB (SXM)</t>
  </si>
  <si>
    <t>Best for 70B models</t>
  </si>
  <si>
    <t>NVIDIA A100 40 GiB (PCIe)</t>
  </si>
  <si>
    <t>VRAM-limited</t>
  </si>
  <si>
    <t>NVIDIA T4 16 GiB</t>
  </si>
  <si>
    <t>Budget, weak for 70B</t>
  </si>
  <si>
    <t>NVIDIA L4 24 GiB</t>
  </si>
  <si>
    <t>Inference-optimized</t>
  </si>
  <si>
    <t>NVIDIA H100 80 GiB (SXM)</t>
  </si>
  <si>
    <t>Top-tier performance</t>
  </si>
  <si>
    <t>GPU REQUIREMENTS FOR 1000 RPM</t>
  </si>
  <si>
    <t>Configuration</t>
  </si>
  <si>
    <t>GPUs per replica</t>
  </si>
  <si>
    <t>Replicas for 1000 RPM</t>
  </si>
  <si>
    <t>Total GPUs</t>
  </si>
  <si>
    <t>FP16 on A100-80 GiB</t>
  </si>
  <si>
    <t>Tensor Parallel across GPUs</t>
  </si>
  <si>
    <t>FP16 on A100-40 GiB</t>
  </si>
  <si>
    <t>Too many GPUs, inefficient</t>
  </si>
  <si>
    <t>FP16 on L4-24 GiB</t>
  </si>
  <si>
    <t>Very complex configuration</t>
  </si>
  <si>
    <t>INT4 on A100-80 GiB</t>
  </si>
  <si>
    <t>Fits on 1 GPU; 4 replicas enough</t>
  </si>
  <si>
    <t>INT4 on L4-24 GiB</t>
  </si>
  <si>
    <t>2 GPUs in TP; 5 replicas</t>
  </si>
  <si>
    <t>INT4 on T4-16 GiB</t>
  </si>
  <si>
    <t>Low throughput; not recommended</t>
  </si>
  <si>
    <t>CLOUD COST COMPARISON</t>
  </si>
  <si>
    <t>Yandex Cloud - GPU Instances (price per 1 GPU/hour)</t>
  </si>
  <si>
    <t>Price (RUB/hr)</t>
  </si>
  <si>
    <t>Price (USD/hr)</t>
  </si>
  <si>
    <t>NVIDIA A100 80 GiB</t>
  </si>
  <si>
    <t>gpu-standard-v3</t>
  </si>
  <si>
    <t>g1/g2 series</t>
  </si>
  <si>
    <t>Available in some zones</t>
  </si>
  <si>
    <t>Cloud.ru (SberCloud) - GPU Instances (price per 1 GPU/hour)</t>
  </si>
  <si>
    <t>ML Space / Evolution</t>
  </si>
  <si>
    <t>Basic GPU instance</t>
  </si>
  <si>
    <t>MONTHLY COST BY CONFIGURATION</t>
  </si>
  <si>
    <t>Hours per month:</t>
  </si>
  <si>
    <t>Num GPUs</t>
  </si>
  <si>
    <t>Yandex Cloud (RUB/mo)</t>
  </si>
  <si>
    <t>Cloud.ru (RUB/mo)</t>
  </si>
  <si>
    <t>Difference (RUB)</t>
  </si>
  <si>
    <t>FP16, A100-80 GiB</t>
  </si>
  <si>
    <t>2 GPU/replica x 6 replicas</t>
  </si>
  <si>
    <t>INT4, A100-80 GiB</t>
  </si>
  <si>
    <t>1 GPU/replica x 4 replicas - OPTIMUM</t>
  </si>
  <si>
    <t>INT4, L4-24 GiB</t>
  </si>
  <si>
    <t>2 GPU/replica x 5 replicas</t>
  </si>
  <si>
    <t>INT4, T4-16 GiB</t>
  </si>
  <si>
    <t>Many GPUs, low throughput</t>
  </si>
  <si>
    <t>OPTIMIZATION: BATCHING &amp; vLLM</t>
  </si>
  <si>
    <t>Optimization techniques</t>
  </si>
  <si>
    <t>Technique</t>
  </si>
  <si>
    <t>Throughput gain</t>
  </si>
  <si>
    <t>Cost reduction</t>
  </si>
  <si>
    <t>Description</t>
  </si>
  <si>
    <t>Continuous Batching</t>
  </si>
  <si>
    <t>2-4x</t>
  </si>
  <si>
    <t>50-75%</t>
  </si>
  <si>
    <t>Batch requests dynamically; GPU util 30% -&gt; 80%+</t>
  </si>
  <si>
    <t>vLLM (PagedAttention)</t>
  </si>
  <si>
    <t>2-5x</t>
  </si>
  <si>
    <t>50-80%</t>
  </si>
  <si>
    <t>Efficient KV Cache management; eliminates fragmentation</t>
  </si>
  <si>
    <t>vLLM + Continuous Batching</t>
  </si>
  <si>
    <t>3-6x</t>
  </si>
  <si>
    <t>65-85%</t>
  </si>
  <si>
    <t>Combined: PagedAttention + dynamic batching</t>
  </si>
  <si>
    <t>Speculative Decoding</t>
  </si>
  <si>
    <t>1.5-2.5x</t>
  </si>
  <si>
    <t>30-60%</t>
  </si>
  <si>
    <t>Draft model generates candidates, main verifies</t>
  </si>
  <si>
    <t>INT4 quantization (GPTQ/AWQ)</t>
  </si>
  <si>
    <t>1.5-2x</t>
  </si>
  <si>
    <t>50-70%</t>
  </si>
  <si>
    <t>4x less VRAM; fewer GPUs needed</t>
  </si>
  <si>
    <t>COST FORECAST WITH OPTIMIZATION (INT4, A100-80 GiB, Cloud.ru)</t>
  </si>
  <si>
    <t>Cloud.ru A100 price (RUB/hr):</t>
  </si>
  <si>
    <t>Hours/month:</t>
  </si>
  <si>
    <t>Scenario</t>
  </si>
  <si>
    <t>Cost (RUB/mo)</t>
  </si>
  <si>
    <t>Savings vs Baseline</t>
  </si>
  <si>
    <t>Baseline (no optimization)</t>
  </si>
  <si>
    <t>---</t>
  </si>
  <si>
    <t>+ Continuous Batching</t>
  </si>
  <si>
    <t>+ vLLM (PagedAttention)</t>
  </si>
  <si>
    <t>+ vLLM + Batching + INT4</t>
  </si>
  <si>
    <t>KEY INSIGHT:</t>
  </si>
  <si>
    <t>vLLM with PagedAttention + Continuous Batching allows serving 1000 RPM on just 2x A100-80 GiB (INT4) instead of 4x without optimization.</t>
  </si>
  <si>
    <t>Savings: ~50% (~715,000 RUB/month on Cloud.ru).</t>
  </si>
  <si>
    <t>FINAL RECOMMENDATION</t>
  </si>
  <si>
    <t>Recommendation</t>
  </si>
  <si>
    <t>Model</t>
  </si>
  <si>
    <t>Llama-3-70B INT4 (GPTQ or AWQ quantization)</t>
  </si>
  <si>
    <t>1 (model fits in 1 GPU at INT4)</t>
  </si>
  <si>
    <t>Replicas (no optimization)</t>
  </si>
  <si>
    <t>4 replicas = 4 GPUs</t>
  </si>
  <si>
    <t>Replicas (with vLLM)</t>
  </si>
  <si>
    <t>2 replicas = 2 GPUs</t>
  </si>
  <si>
    <t>Inference Engine</t>
  </si>
  <si>
    <t>vLLM with PagedAttention + Continuous Batching</t>
  </si>
  <si>
    <t>Cloud provider</t>
  </si>
  <si>
    <t>Cloud.ru (SberCloud) - ~9% cheaper vs Yandex Cloud</t>
  </si>
  <si>
    <t>Cost/month (no optimization)</t>
  </si>
  <si>
    <t>~1,431,200 RUB (4x A100, Cloud.ru)</t>
  </si>
  <si>
    <t>Cost/month (with vLLM)</t>
  </si>
  <si>
    <t>~715,600 RUB (2x A100, Cloud.ru)</t>
  </si>
  <si>
    <t>Savings from optimization</t>
  </si>
  <si>
    <t>~50% (~715,600 RUB/month)</t>
  </si>
  <si>
    <t>WHY INT4 + A100 + vLLM:</t>
  </si>
  <si>
    <t>1. VRAM</t>
  </si>
  <si>
    <t>INT4 ~ 32.6 GiB vs FP16 ~ 130.4 GiB (4x less)</t>
  </si>
  <si>
    <t>2. GPUs</t>
  </si>
  <si>
    <t>1 GPU instead of 2 per replica -&gt; fewer servers</t>
  </si>
  <si>
    <t>3. Cost</t>
  </si>
  <si>
    <t>3x cheaper than FP16 configuration</t>
  </si>
  <si>
    <t>4. Quality</t>
  </si>
  <si>
    <t>INT4 (AWQ/GPTQ) quality loss &lt;1% on benchmarks</t>
  </si>
  <si>
    <t>5. Throughput</t>
  </si>
  <si>
    <t>vLLM increases throughput 3-5x via PagedAttention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</si>
</sst>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2"/>
      <color rgb="FFFFFFFF"/>
      <name val="Calibri"/>
    </font>
    <font>
      <sz val="11"/>
      <name val="Calibri"/>
    </font>
    <font>
      <b/>
      <sz val="11"/>
      <color rgb="FF2F5496"/>
      <name val="Calibri"/>
    </font>
    <font>
      <b/>
      <sz val="11"/>
      <name val="Calibri"/>
    </font>
    <font>
      <b/>
      <sz val="11"/>
      <color rgb="FF9C6500"/>
      <name val="Calibri"/>
    </font>
    <font>
      <b/>
      <sz val="13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3"/>
      <color rgb="FF2F5496"/>
      <name val="Calibri"/>
    </font>
    <font>
      <b/>
      <sz val="12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rgb="FFFFFF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2" fontId="4" fillId="3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2" fontId="7" fillId="2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9" fillId="6" borderId="1" xfId="0" applyFont="1" applyFill="1" applyBorder="1" applyAlignment="1">
      <alignment wrapText="1"/>
    </xf>
    <xf numFmtId="0" fontId="10" fillId="0" borderId="0" xfId="0" applyFont="1"/>
    <xf numFmtId="3" fontId="3" fillId="0" borderId="1" xfId="0" applyNumberFormat="1" applyFont="1" applyBorder="1" applyAlignment="1">
      <alignment wrapText="1"/>
    </xf>
    <xf numFmtId="3" fontId="8" fillId="5" borderId="1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wrapText="1"/>
    </xf>
    <xf numFmtId="9" fontId="8" fillId="5" borderId="1" xfId="0" applyNumberFormat="1" applyFont="1" applyFill="1" applyBorder="1" applyAlignment="1">
      <alignment wrapText="1"/>
    </xf>
    <xf numFmtId="0" fontId="11" fillId="0" borderId="0" xfId="0" applyFont="1"/>
    <xf numFmtId="0" fontId="3" fillId="0" borderId="0" xfId="0" applyFont="1"/>
    <xf numFmtId="0" fontId="8" fillId="0" borderId="0" xfId="0" applyFont="1"/>
    <xf numFmtId="0" fontId="1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E10" sqref="E10"/>
    </sheetView>
  </sheetViews>
  <sheetFormatPr defaultRowHeight="15"/>
  <cols>
    <col min="1" max="1" width="50" customWidth="1"/>
    <col min="2" max="3" width="24" customWidth="1"/>
    <col min="4" max="4" width="48" customWidth="1"/>
    <col min="5" max="5" width="45" customWidth="1"/>
  </cols>
  <sheetData>
    <row r="1" spans="1:4" ht="18.75">
      <c r="A1" s="1" t="s">
        <v>0</v>
      </c>
    </row>
    <row r="3" spans="1:4" ht="15.7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>
        <v>70</v>
      </c>
      <c r="C4" s="3">
        <v>70</v>
      </c>
      <c r="D4" s="3" t="s">
        <v>6</v>
      </c>
    </row>
    <row r="5" spans="1:4">
      <c r="A5" s="3" t="s">
        <v>7</v>
      </c>
      <c r="B5" s="3">
        <v>2</v>
      </c>
      <c r="C5" s="3">
        <v>0.5</v>
      </c>
      <c r="D5" s="3" t="s">
        <v>8</v>
      </c>
    </row>
    <row r="6" spans="1:4">
      <c r="A6" s="4" t="s">
        <v>9</v>
      </c>
      <c r="B6" s="5">
        <f>B4*1000000000*B5/(1024*1024*1024)</f>
        <v>130.38516044616699</v>
      </c>
      <c r="C6" s="5">
        <f>C4*1000000000*C5/(1024*1024*1024)</f>
        <v>32.596290111541748</v>
      </c>
      <c r="D6" s="4" t="s">
        <v>10</v>
      </c>
    </row>
    <row r="8" spans="1:4">
      <c r="A8" s="6" t="s">
        <v>11</v>
      </c>
      <c r="B8" s="6"/>
      <c r="C8" s="6"/>
      <c r="D8" s="6"/>
    </row>
    <row r="9" spans="1:4">
      <c r="A9" s="3" t="s">
        <v>12</v>
      </c>
      <c r="B9" s="3">
        <v>80</v>
      </c>
      <c r="C9" s="3">
        <v>80</v>
      </c>
      <c r="D9" s="3" t="s">
        <v>13</v>
      </c>
    </row>
    <row r="10" spans="1:4">
      <c r="A10" s="3" t="s">
        <v>14</v>
      </c>
      <c r="B10" s="3">
        <v>128</v>
      </c>
      <c r="C10" s="3">
        <v>128</v>
      </c>
      <c r="D10" s="3" t="s">
        <v>15</v>
      </c>
    </row>
    <row r="11" spans="1:4">
      <c r="A11" s="3" t="s">
        <v>16</v>
      </c>
      <c r="B11" s="3">
        <v>8</v>
      </c>
      <c r="C11" s="3">
        <v>8</v>
      </c>
      <c r="D11" s="3" t="s">
        <v>17</v>
      </c>
    </row>
    <row r="12" spans="1:4">
      <c r="A12" s="3" t="s">
        <v>18</v>
      </c>
      <c r="B12" s="3">
        <v>2048</v>
      </c>
      <c r="C12" s="3">
        <v>2048</v>
      </c>
      <c r="D12" s="3" t="s">
        <v>19</v>
      </c>
    </row>
    <row r="13" spans="1:4" ht="30">
      <c r="A13" s="7" t="s">
        <v>20</v>
      </c>
      <c r="B13" s="7">
        <v>2</v>
      </c>
      <c r="C13" s="7">
        <v>0.5</v>
      </c>
      <c r="D13" s="7" t="s">
        <v>21</v>
      </c>
    </row>
    <row r="14" spans="1:4" ht="30">
      <c r="A14" s="4" t="s">
        <v>22</v>
      </c>
      <c r="B14" s="5">
        <f>2*B9*B11*B10*B12*B13/(1024*1024)</f>
        <v>640</v>
      </c>
      <c r="C14" s="5">
        <f>2*C9*C11*C10*C12*C13/(1024*1024)</f>
        <v>160</v>
      </c>
      <c r="D14" s="4" t="s">
        <v>23</v>
      </c>
    </row>
    <row r="16" spans="1:4">
      <c r="A16" s="6" t="s">
        <v>24</v>
      </c>
      <c r="B16" s="6"/>
      <c r="C16" s="6"/>
      <c r="D16" s="6"/>
    </row>
    <row r="17" spans="1:4">
      <c r="A17" s="3" t="s">
        <v>25</v>
      </c>
      <c r="B17" s="3">
        <v>1000</v>
      </c>
      <c r="C17" s="3">
        <v>1000</v>
      </c>
      <c r="D17" s="3" t="s">
        <v>26</v>
      </c>
    </row>
    <row r="18" spans="1:4">
      <c r="A18" s="3" t="s">
        <v>27</v>
      </c>
      <c r="B18" s="8">
        <f>B17/60</f>
        <v>16.666666666666668</v>
      </c>
      <c r="C18" s="8">
        <f>C17/60</f>
        <v>16.666666666666668</v>
      </c>
      <c r="D18" s="3" t="s">
        <v>28</v>
      </c>
    </row>
    <row r="19" spans="1:4">
      <c r="A19" s="3" t="s">
        <v>29</v>
      </c>
      <c r="B19" s="3">
        <v>2</v>
      </c>
      <c r="C19" s="3">
        <v>2</v>
      </c>
      <c r="D19" s="3" t="s">
        <v>30</v>
      </c>
    </row>
    <row r="20" spans="1:4">
      <c r="A20" s="3" t="s">
        <v>31</v>
      </c>
      <c r="B20" s="3">
        <f>ROUND(B18*B19,0)</f>
        <v>33</v>
      </c>
      <c r="C20" s="3">
        <f>ROUND(C18*C19,0)</f>
        <v>33</v>
      </c>
      <c r="D20" s="3" t="s">
        <v>32</v>
      </c>
    </row>
    <row r="21" spans="1:4">
      <c r="A21" s="4" t="s">
        <v>33</v>
      </c>
      <c r="B21" s="5">
        <f>B14*B20/1024</f>
        <v>20.625</v>
      </c>
      <c r="C21" s="5">
        <f>C14*C20/1024</f>
        <v>5.15625</v>
      </c>
      <c r="D21" s="4" t="s">
        <v>34</v>
      </c>
    </row>
    <row r="23" spans="1:4" ht="17.25">
      <c r="A23" s="9" t="s">
        <v>35</v>
      </c>
      <c r="B23" s="10">
        <f>B6+B21</f>
        <v>151.01016044616699</v>
      </c>
      <c r="C23" s="10">
        <f>C6+C21</f>
        <v>37.752540111541748</v>
      </c>
      <c r="D23" s="9" t="s">
        <v>36</v>
      </c>
    </row>
    <row r="26" spans="1:4" ht="18.75">
      <c r="A26" s="1" t="s">
        <v>37</v>
      </c>
    </row>
    <row r="28" spans="1:4" ht="15.75">
      <c r="A28" s="2" t="s">
        <v>38</v>
      </c>
      <c r="B28" s="2" t="s">
        <v>39</v>
      </c>
      <c r="C28" s="2" t="s">
        <v>40</v>
      </c>
      <c r="D28" s="2" t="s">
        <v>4</v>
      </c>
    </row>
    <row r="29" spans="1:4">
      <c r="A29" s="3" t="s">
        <v>41</v>
      </c>
      <c r="B29" s="3">
        <v>80</v>
      </c>
      <c r="C29" s="3">
        <v>312</v>
      </c>
      <c r="D29" s="3" t="s">
        <v>42</v>
      </c>
    </row>
    <row r="30" spans="1:4">
      <c r="A30" s="3" t="s">
        <v>43</v>
      </c>
      <c r="B30" s="3">
        <v>40</v>
      </c>
      <c r="C30" s="3">
        <v>312</v>
      </c>
      <c r="D30" s="3" t="s">
        <v>44</v>
      </c>
    </row>
    <row r="31" spans="1:4">
      <c r="A31" s="3" t="s">
        <v>45</v>
      </c>
      <c r="B31" s="3">
        <v>16</v>
      </c>
      <c r="C31" s="3">
        <v>65</v>
      </c>
      <c r="D31" s="3" t="s">
        <v>46</v>
      </c>
    </row>
    <row r="32" spans="1:4">
      <c r="A32" s="3" t="s">
        <v>47</v>
      </c>
      <c r="B32" s="3">
        <v>24</v>
      </c>
      <c r="C32" s="3">
        <v>121</v>
      </c>
      <c r="D32" s="3" t="s">
        <v>48</v>
      </c>
    </row>
    <row r="33" spans="1:5">
      <c r="A33" s="3" t="s">
        <v>49</v>
      </c>
      <c r="B33" s="3">
        <v>80</v>
      </c>
      <c r="C33" s="3">
        <v>990</v>
      </c>
      <c r="D33" s="3" t="s">
        <v>50</v>
      </c>
    </row>
    <row r="35" spans="1:5" ht="18.75">
      <c r="A35" s="1" t="s">
        <v>51</v>
      </c>
    </row>
    <row r="37" spans="1:5" ht="15.75">
      <c r="A37" s="2" t="s">
        <v>52</v>
      </c>
      <c r="B37" s="2" t="s">
        <v>53</v>
      </c>
      <c r="C37" s="2" t="s">
        <v>54</v>
      </c>
      <c r="D37" s="2" t="s">
        <v>55</v>
      </c>
      <c r="E37" s="2" t="s">
        <v>4</v>
      </c>
    </row>
    <row r="38" spans="1:5">
      <c r="A38" s="3" t="s">
        <v>56</v>
      </c>
      <c r="B38" s="3">
        <f>CEILING(B23/80,1)</f>
        <v>2</v>
      </c>
      <c r="C38" s="3">
        <v>6</v>
      </c>
      <c r="D38" s="3">
        <f t="shared" ref="D38:D43" si="0">B38*C38</f>
        <v>12</v>
      </c>
      <c r="E38" s="3" t="s">
        <v>57</v>
      </c>
    </row>
    <row r="39" spans="1:5">
      <c r="A39" s="3" t="s">
        <v>58</v>
      </c>
      <c r="B39" s="3">
        <f>CEILING(B23/40,1)</f>
        <v>4</v>
      </c>
      <c r="C39" s="3">
        <v>6</v>
      </c>
      <c r="D39" s="3">
        <f t="shared" si="0"/>
        <v>24</v>
      </c>
      <c r="E39" s="3" t="s">
        <v>59</v>
      </c>
    </row>
    <row r="40" spans="1:5">
      <c r="A40" s="3" t="s">
        <v>60</v>
      </c>
      <c r="B40" s="3">
        <f>CEILING(B23/24,1)</f>
        <v>7</v>
      </c>
      <c r="C40" s="3">
        <v>6</v>
      </c>
      <c r="D40" s="3">
        <f t="shared" si="0"/>
        <v>42</v>
      </c>
      <c r="E40" s="3" t="s">
        <v>61</v>
      </c>
    </row>
    <row r="41" spans="1:5">
      <c r="A41" s="11" t="s">
        <v>62</v>
      </c>
      <c r="B41" s="11">
        <f>CEILING(C23/80,1)</f>
        <v>1</v>
      </c>
      <c r="C41" s="11">
        <v>4</v>
      </c>
      <c r="D41" s="11">
        <f t="shared" si="0"/>
        <v>4</v>
      </c>
      <c r="E41" s="11" t="s">
        <v>63</v>
      </c>
    </row>
    <row r="42" spans="1:5">
      <c r="A42" s="3" t="s">
        <v>64</v>
      </c>
      <c r="B42" s="3">
        <f>CEILING(C23/24,1)</f>
        <v>2</v>
      </c>
      <c r="C42" s="3">
        <v>5</v>
      </c>
      <c r="D42" s="3">
        <f t="shared" si="0"/>
        <v>10</v>
      </c>
      <c r="E42" s="3" t="s">
        <v>65</v>
      </c>
    </row>
    <row r="43" spans="1:5">
      <c r="A43" s="12" t="s">
        <v>66</v>
      </c>
      <c r="B43" s="12">
        <f>CEILING(C23/16,1)</f>
        <v>3</v>
      </c>
      <c r="C43" s="12">
        <v>6</v>
      </c>
      <c r="D43" s="12">
        <f t="shared" si="0"/>
        <v>18</v>
      </c>
      <c r="E43" s="1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5"/>
  <cols>
    <col min="1" max="1" width="35" customWidth="1"/>
    <col min="2" max="5" width="22" customWidth="1"/>
    <col min="6" max="6" width="35" customWidth="1"/>
  </cols>
  <sheetData>
    <row r="1" spans="1:5" ht="18.75">
      <c r="A1" s="1" t="s">
        <v>68</v>
      </c>
    </row>
    <row r="3" spans="1:5" ht="17.25">
      <c r="A3" s="13" t="s">
        <v>69</v>
      </c>
    </row>
    <row r="4" spans="1:5" ht="15.75">
      <c r="A4" s="2" t="s">
        <v>38</v>
      </c>
      <c r="B4" s="2" t="s">
        <v>39</v>
      </c>
      <c r="C4" s="2" t="s">
        <v>70</v>
      </c>
      <c r="D4" s="2" t="s">
        <v>71</v>
      </c>
      <c r="E4" s="2" t="s">
        <v>4</v>
      </c>
    </row>
    <row r="5" spans="1:5">
      <c r="A5" s="3" t="s">
        <v>72</v>
      </c>
      <c r="B5" s="3">
        <v>80</v>
      </c>
      <c r="C5" s="3">
        <v>538</v>
      </c>
      <c r="D5" s="8">
        <f>C5/90</f>
        <v>5.9777777777777779</v>
      </c>
      <c r="E5" s="3" t="s">
        <v>73</v>
      </c>
    </row>
    <row r="6" spans="1:5">
      <c r="A6" s="3" t="s">
        <v>45</v>
      </c>
      <c r="B6" s="3">
        <v>16</v>
      </c>
      <c r="C6" s="3">
        <v>134</v>
      </c>
      <c r="D6" s="8">
        <f>C6/90</f>
        <v>1.4888888888888889</v>
      </c>
      <c r="E6" s="3" t="s">
        <v>74</v>
      </c>
    </row>
    <row r="7" spans="1:5" ht="30">
      <c r="A7" s="3" t="s">
        <v>47</v>
      </c>
      <c r="B7" s="3">
        <v>24</v>
      </c>
      <c r="C7" s="3">
        <v>201</v>
      </c>
      <c r="D7" s="8">
        <f>C7/90</f>
        <v>2.2333333333333334</v>
      </c>
      <c r="E7" s="3" t="s">
        <v>75</v>
      </c>
    </row>
    <row r="10" spans="1:5" ht="17.25">
      <c r="A10" s="13" t="s">
        <v>76</v>
      </c>
    </row>
    <row r="11" spans="1:5" ht="15.75">
      <c r="A11" s="2" t="s">
        <v>38</v>
      </c>
      <c r="B11" s="2" t="s">
        <v>39</v>
      </c>
      <c r="C11" s="2" t="s">
        <v>70</v>
      </c>
      <c r="D11" s="2" t="s">
        <v>71</v>
      </c>
      <c r="E11" s="2" t="s">
        <v>4</v>
      </c>
    </row>
    <row r="12" spans="1:5">
      <c r="A12" s="3" t="s">
        <v>72</v>
      </c>
      <c r="B12" s="3">
        <v>80</v>
      </c>
      <c r="C12" s="3">
        <v>490</v>
      </c>
      <c r="D12" s="8">
        <f>C12/90</f>
        <v>5.4444444444444446</v>
      </c>
      <c r="E12" s="3" t="s">
        <v>77</v>
      </c>
    </row>
    <row r="13" spans="1:5">
      <c r="A13" s="3" t="s">
        <v>45</v>
      </c>
      <c r="B13" s="3">
        <v>16</v>
      </c>
      <c r="C13" s="3">
        <v>120</v>
      </c>
      <c r="D13" s="8">
        <f>C13/90</f>
        <v>1.3333333333333333</v>
      </c>
      <c r="E13" s="3" t="s">
        <v>78</v>
      </c>
    </row>
    <row r="14" spans="1:5">
      <c r="A14" s="3" t="s">
        <v>47</v>
      </c>
      <c r="B14" s="3">
        <v>24</v>
      </c>
      <c r="C14" s="3">
        <v>185</v>
      </c>
      <c r="D14" s="8">
        <f>C14/90</f>
        <v>2.0555555555555554</v>
      </c>
      <c r="E14" s="3" t="s">
        <v>48</v>
      </c>
    </row>
    <row r="17" spans="1:6" ht="18.75">
      <c r="A17" s="1" t="s">
        <v>79</v>
      </c>
    </row>
    <row r="18" spans="1:6">
      <c r="A18" s="3" t="s">
        <v>80</v>
      </c>
      <c r="B18" s="3">
        <v>730</v>
      </c>
    </row>
    <row r="20" spans="1:6" ht="31.5">
      <c r="A20" s="2" t="s">
        <v>52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4</v>
      </c>
    </row>
    <row r="21" spans="1:6">
      <c r="A21" s="3" t="s">
        <v>85</v>
      </c>
      <c r="B21" s="3">
        <v>12</v>
      </c>
      <c r="C21" s="14">
        <f>B21*C5*$B$18</f>
        <v>4712880</v>
      </c>
      <c r="D21" s="14">
        <f>B21*C12*$B$18</f>
        <v>4292400</v>
      </c>
      <c r="E21" s="14">
        <f>C21-D21</f>
        <v>420480</v>
      </c>
      <c r="F21" s="3" t="s">
        <v>86</v>
      </c>
    </row>
    <row r="22" spans="1:6" ht="30">
      <c r="A22" s="11" t="s">
        <v>87</v>
      </c>
      <c r="B22" s="11">
        <v>4</v>
      </c>
      <c r="C22" s="15">
        <f>B22*C5*$B$18</f>
        <v>1570960</v>
      </c>
      <c r="D22" s="15">
        <f>B22*C12*$B$18</f>
        <v>1430800</v>
      </c>
      <c r="E22" s="15">
        <f>C22-D22</f>
        <v>140160</v>
      </c>
      <c r="F22" s="11" t="s">
        <v>88</v>
      </c>
    </row>
    <row r="23" spans="1:6">
      <c r="A23" s="3" t="s">
        <v>89</v>
      </c>
      <c r="B23" s="3">
        <v>10</v>
      </c>
      <c r="C23" s="14">
        <f>B23*C7*$B$18</f>
        <v>1467300</v>
      </c>
      <c r="D23" s="14">
        <f>B23*C14*$B$18</f>
        <v>1350500</v>
      </c>
      <c r="E23" s="14">
        <f>C23-D23</f>
        <v>116800</v>
      </c>
      <c r="F23" s="3" t="s">
        <v>90</v>
      </c>
    </row>
    <row r="24" spans="1:6">
      <c r="A24" s="3" t="s">
        <v>91</v>
      </c>
      <c r="B24" s="3">
        <v>18</v>
      </c>
      <c r="C24" s="14">
        <f>B24*C6*$B$18</f>
        <v>1760760</v>
      </c>
      <c r="D24" s="14">
        <f>B24*C13*$B$18</f>
        <v>1576800</v>
      </c>
      <c r="E24" s="14">
        <f>C24-D24</f>
        <v>183960</v>
      </c>
      <c r="F24" s="3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/>
  <cols>
    <col min="1" max="1" width="50" customWidth="1"/>
    <col min="2" max="3" width="22" customWidth="1"/>
    <col min="4" max="4" width="40" customWidth="1"/>
  </cols>
  <sheetData>
    <row r="1" spans="1:4" ht="18.75">
      <c r="A1" s="1" t="s">
        <v>93</v>
      </c>
    </row>
    <row r="3" spans="1:4" ht="17.25">
      <c r="A3" s="13" t="s">
        <v>94</v>
      </c>
    </row>
    <row r="4" spans="1:4" ht="15.75">
      <c r="A4" s="2" t="s">
        <v>95</v>
      </c>
      <c r="B4" s="2" t="s">
        <v>96</v>
      </c>
      <c r="C4" s="2" t="s">
        <v>97</v>
      </c>
      <c r="D4" s="2" t="s">
        <v>98</v>
      </c>
    </row>
    <row r="5" spans="1:4" ht="30">
      <c r="A5" s="3" t="s">
        <v>99</v>
      </c>
      <c r="B5" s="3" t="s">
        <v>100</v>
      </c>
      <c r="C5" s="3" t="s">
        <v>101</v>
      </c>
      <c r="D5" s="3" t="s">
        <v>102</v>
      </c>
    </row>
    <row r="6" spans="1:4" ht="30">
      <c r="A6" s="3" t="s">
        <v>103</v>
      </c>
      <c r="B6" s="3" t="s">
        <v>104</v>
      </c>
      <c r="C6" s="3" t="s">
        <v>105</v>
      </c>
      <c r="D6" s="3" t="s">
        <v>106</v>
      </c>
    </row>
    <row r="7" spans="1:4" ht="30">
      <c r="A7" s="3" t="s">
        <v>107</v>
      </c>
      <c r="B7" s="3" t="s">
        <v>108</v>
      </c>
      <c r="C7" s="3" t="s">
        <v>109</v>
      </c>
      <c r="D7" s="3" t="s">
        <v>110</v>
      </c>
    </row>
    <row r="8" spans="1:4" ht="30">
      <c r="A8" s="3" t="s">
        <v>111</v>
      </c>
      <c r="B8" s="3" t="s">
        <v>112</v>
      </c>
      <c r="C8" s="3" t="s">
        <v>113</v>
      </c>
      <c r="D8" s="3" t="s">
        <v>114</v>
      </c>
    </row>
    <row r="9" spans="1:4">
      <c r="A9" s="3" t="s">
        <v>115</v>
      </c>
      <c r="B9" s="3" t="s">
        <v>116</v>
      </c>
      <c r="C9" s="3" t="s">
        <v>117</v>
      </c>
      <c r="D9" s="3" t="s">
        <v>118</v>
      </c>
    </row>
    <row r="12" spans="1:4" ht="18.75">
      <c r="A12" s="1" t="s">
        <v>119</v>
      </c>
    </row>
    <row r="13" spans="1:4">
      <c r="A13" s="3" t="s">
        <v>120</v>
      </c>
      <c r="B13" s="3">
        <v>490</v>
      </c>
      <c r="C13" s="3" t="s">
        <v>121</v>
      </c>
      <c r="D13" s="3">
        <v>730</v>
      </c>
    </row>
    <row r="15" spans="1:4" ht="15.75">
      <c r="A15" s="2" t="s">
        <v>122</v>
      </c>
      <c r="B15" s="2" t="s">
        <v>81</v>
      </c>
      <c r="C15" s="2" t="s">
        <v>123</v>
      </c>
      <c r="D15" s="2" t="s">
        <v>124</v>
      </c>
    </row>
    <row r="16" spans="1:4">
      <c r="A16" s="3" t="s">
        <v>125</v>
      </c>
      <c r="B16" s="3">
        <v>4</v>
      </c>
      <c r="C16" s="14">
        <f>B16*$B$13*$D$13</f>
        <v>1430800</v>
      </c>
      <c r="D16" s="3" t="s">
        <v>126</v>
      </c>
    </row>
    <row r="17" spans="1:4">
      <c r="A17" s="3" t="s">
        <v>127</v>
      </c>
      <c r="B17" s="3">
        <v>3</v>
      </c>
      <c r="C17" s="14">
        <f>B17*$B$13*$D$13</f>
        <v>1073100</v>
      </c>
      <c r="D17" s="16">
        <f>1-C17/C16</f>
        <v>0.25</v>
      </c>
    </row>
    <row r="18" spans="1:4">
      <c r="A18" s="3" t="s">
        <v>128</v>
      </c>
      <c r="B18" s="3">
        <v>2</v>
      </c>
      <c r="C18" s="14">
        <f>B18*$B$13*$D$13</f>
        <v>715400</v>
      </c>
      <c r="D18" s="16">
        <f>1-C18/C16</f>
        <v>0.5</v>
      </c>
    </row>
    <row r="19" spans="1:4">
      <c r="A19" s="11" t="s">
        <v>129</v>
      </c>
      <c r="B19" s="11">
        <v>2</v>
      </c>
      <c r="C19" s="15">
        <f>B19*$B$13*$D$13</f>
        <v>715400</v>
      </c>
      <c r="D19" s="17">
        <f>1-C19/C16</f>
        <v>0.5</v>
      </c>
    </row>
    <row r="21" spans="1:4" ht="15.75">
      <c r="A21" s="18" t="s">
        <v>130</v>
      </c>
    </row>
    <row r="22" spans="1:4">
      <c r="A22" s="19" t="s">
        <v>131</v>
      </c>
    </row>
    <row r="23" spans="1:4">
      <c r="A23" s="20" t="s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/>
  </sheetViews>
  <sheetFormatPr defaultRowHeight="15"/>
  <cols>
    <col min="1" max="1" width="45" customWidth="1"/>
    <col min="2" max="2" width="55" customWidth="1"/>
  </cols>
  <sheetData>
    <row r="1" spans="1:2" ht="18.75">
      <c r="A1" s="1" t="s">
        <v>133</v>
      </c>
    </row>
    <row r="3" spans="1:2" ht="15.75">
      <c r="A3" s="2" t="s">
        <v>1</v>
      </c>
      <c r="B3" s="2" t="s">
        <v>134</v>
      </c>
    </row>
    <row r="4" spans="1:2">
      <c r="A4" s="3" t="s">
        <v>135</v>
      </c>
      <c r="B4" s="3" t="s">
        <v>136</v>
      </c>
    </row>
    <row r="5" spans="1:2">
      <c r="A5" s="3" t="s">
        <v>38</v>
      </c>
      <c r="B5" s="3" t="s">
        <v>41</v>
      </c>
    </row>
    <row r="6" spans="1:2">
      <c r="A6" s="3" t="s">
        <v>53</v>
      </c>
      <c r="B6" s="3" t="s">
        <v>137</v>
      </c>
    </row>
    <row r="7" spans="1:2">
      <c r="A7" s="3" t="s">
        <v>138</v>
      </c>
      <c r="B7" s="3" t="s">
        <v>139</v>
      </c>
    </row>
    <row r="8" spans="1:2">
      <c r="A8" s="11" t="s">
        <v>140</v>
      </c>
      <c r="B8" s="11" t="s">
        <v>141</v>
      </c>
    </row>
    <row r="9" spans="1:2">
      <c r="A9" s="3" t="s">
        <v>142</v>
      </c>
      <c r="B9" s="3" t="s">
        <v>143</v>
      </c>
    </row>
    <row r="10" spans="1:2">
      <c r="A10" s="3" t="s">
        <v>144</v>
      </c>
      <c r="B10" s="3" t="s">
        <v>145</v>
      </c>
    </row>
    <row r="11" spans="1:2">
      <c r="A11" s="3" t="s">
        <v>146</v>
      </c>
      <c r="B11" s="3" t="s">
        <v>147</v>
      </c>
    </row>
    <row r="12" spans="1:2">
      <c r="A12" s="11" t="s">
        <v>148</v>
      </c>
      <c r="B12" s="11" t="s">
        <v>149</v>
      </c>
    </row>
    <row r="13" spans="1:2">
      <c r="A13" s="11" t="s">
        <v>150</v>
      </c>
      <c r="B13" s="11" t="s">
        <v>151</v>
      </c>
    </row>
    <row r="14" spans="1:2">
      <c r="A14" s="3"/>
      <c r="B14" s="3"/>
    </row>
    <row r="15" spans="1:2" ht="17.25">
      <c r="A15" s="21" t="s">
        <v>152</v>
      </c>
      <c r="B15" s="21"/>
    </row>
    <row r="16" spans="1:2">
      <c r="A16" s="3" t="s">
        <v>153</v>
      </c>
      <c r="B16" s="3" t="s">
        <v>154</v>
      </c>
    </row>
    <row r="17" spans="1:2">
      <c r="A17" s="3" t="s">
        <v>155</v>
      </c>
      <c r="B17" s="3" t="s">
        <v>156</v>
      </c>
    </row>
    <row r="18" spans="1:2">
      <c r="A18" s="3" t="s">
        <v>157</v>
      </c>
      <c r="B18" s="3" t="s">
        <v>158</v>
      </c>
    </row>
    <row r="19" spans="1:2">
      <c r="A19" s="3" t="s">
        <v>159</v>
      </c>
      <c r="B19" s="3" t="s">
        <v>160</v>
      </c>
    </row>
    <row r="20" spans="1:2">
      <c r="A20" s="3" t="s">
        <v>161</v>
      </c>
      <c r="B20" s="3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Hardware Sizing</vt:lpstr>
      <vt:lpstr>2. Cloud Comparison</vt:lpstr>
      <vt:lpstr>3. Optimization</vt:lpstr>
      <vt:lpstr>4. 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Gasym Valiyev</cp:lastModifiedBy>
  <dcterms:created xsi:type="dcterms:W3CDTF">2026-03-20T06:38:30Z</dcterms:created>
  <dcterms:modified xsi:type="dcterms:W3CDTF">2026-03-20T06:46:30Z</dcterms:modified>
</cp:coreProperties>
</file>