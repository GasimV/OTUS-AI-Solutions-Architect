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E:\Software\GitHub OTUS AI Solutions Architect\Homework-Tasks\"/>
    </mc:Choice>
  </mc:AlternateContent>
  <xr:revisionPtr revIDLastSave="0" documentId="13_ncr:1_{5B393CB4-91A6-478C-93E6-807481079375}" xr6:coauthVersionLast="47" xr6:coauthVersionMax="47" xr10:uidLastSave="{00000000-0000-0000-0000-000000000000}"/>
  <bookViews>
    <workbookView xWindow="-120" yWindow="-120" windowWidth="29040" windowHeight="15840" tabRatio="483" activeTab="1" xr2:uid="{00000000-000D-0000-FFFF-FFFF00000000}"/>
  </bookViews>
  <sheets>
    <sheet name="Описание" sheetId="6" r:id="rId1"/>
    <sheet name="Риск_калькулятор" sheetId="1" r:id="rId2"/>
    <sheet name="Графики" sheetId="2" r:id="rId3"/>
    <sheet name="ModelRiskSYS1" sheetId="3" state="hidden" r:id="rId4"/>
    <sheet name="PMTable" sheetId="4" state="hidden" r:id="rId5"/>
    <sheet name="SIPmath Chart Data" sheetId="5" state="hidden" r:id="rId6"/>
  </sheets>
  <definedNames>
    <definedName name="PM_cdf_Y">'SIPmath Chart Data'!$A$322:$A$426</definedName>
    <definedName name="PM_DfltBins">10</definedName>
    <definedName name="PM_Index">PMTable!$A$1</definedName>
    <definedName name="PM_InitialVariableID">976994</definedName>
    <definedName name="PM_library_file_name">"ISAR Sample_risk_calculator (1).xlsx"</definedName>
    <definedName name="PM_library_file_path">"C:\Users\Sam Savage\Documents\Alex Sidorenko"</definedName>
    <definedName name="PM_local_library">TRUE</definedName>
    <definedName name="PM_MaxBins">100</definedName>
    <definedName name="PM_random_mode">TRUE</definedName>
    <definedName name="PM_Risk_1_axis_lbls">OFFSET( 'SIPmath Chart Data'!$B$219:$B$320, 0, 0, 'SIPmath Chart Data'!$B$6 )</definedName>
    <definedName name="PM_Risk_1_bins">'SIPmath Chart Data'!$B$14:$B$114</definedName>
    <definedName name="PM_Risk_1_freq">'SIPmath Chart Data'!$B$116:$B$217</definedName>
    <definedName name="PM_Risk_1_hist_data">OFFSET( 'SIPmath Chart Data'!$B$116:$B$217, 0, 0, 'SIPmath Chart Data'!$B$6 )</definedName>
    <definedName name="PM_Risk_1_lbls">'SIPmath Chart Data'!$B$219:$B$320</definedName>
    <definedName name="PM_Risk_10_axis_lbls">OFFSET( 'SIPmath Chart Data'!$K$219:$K$320, 0, 0, 'SIPmath Chart Data'!$K$6 )</definedName>
    <definedName name="PM_Risk_10_bins">'SIPmath Chart Data'!$K$14:$K$114</definedName>
    <definedName name="PM_Risk_10_freq">'SIPmath Chart Data'!$K$116:$K$217</definedName>
    <definedName name="PM_Risk_10_hist_data">OFFSET( 'SIPmath Chart Data'!$K$116:$K$217, 0, 0, 'SIPmath Chart Data'!$K$6 )</definedName>
    <definedName name="PM_Risk_10_lbls">'SIPmath Chart Data'!$K$219:$K$320</definedName>
    <definedName name="PM_Risk_2_axis_lbls">OFFSET( 'SIPmath Chart Data'!$C$219:$C$320, 0, 0, 'SIPmath Chart Data'!$C$6 )</definedName>
    <definedName name="PM_Risk_2_bins">'SIPmath Chart Data'!$C$14:$C$114</definedName>
    <definedName name="PM_Risk_2_freq">'SIPmath Chart Data'!$C$116:$C$217</definedName>
    <definedName name="PM_Risk_2_hist_data">OFFSET( 'SIPmath Chart Data'!$C$116:$C$217, 0, 0, 'SIPmath Chart Data'!$C$6 )</definedName>
    <definedName name="PM_Risk_2_lbls">'SIPmath Chart Data'!$C$219:$C$320</definedName>
    <definedName name="PM_Risk_3_axis_lbls">OFFSET( 'SIPmath Chart Data'!$D$219:$D$320, 0, 0, 'SIPmath Chart Data'!$D$6 )</definedName>
    <definedName name="PM_Risk_3_bins">'SIPmath Chart Data'!$D$14:$D$114</definedName>
    <definedName name="PM_Risk_3_freq">'SIPmath Chart Data'!$D$116:$D$217</definedName>
    <definedName name="PM_Risk_3_hist_data">OFFSET( 'SIPmath Chart Data'!$D$116:$D$217, 0, 0, 'SIPmath Chart Data'!$D$6 )</definedName>
    <definedName name="PM_Risk_3_lbls">'SIPmath Chart Data'!$D$219:$D$320</definedName>
    <definedName name="PM_Risk_4_axis_lbls">OFFSET( 'SIPmath Chart Data'!$E$219:$E$320, 0, 0, 'SIPmath Chart Data'!$E$6 )</definedName>
    <definedName name="PM_Risk_4_bins">'SIPmath Chart Data'!$E$14:$E$114</definedName>
    <definedName name="PM_Risk_4_freq">'SIPmath Chart Data'!$E$116:$E$217</definedName>
    <definedName name="PM_Risk_4_hist_data">OFFSET( 'SIPmath Chart Data'!$E$116:$E$217, 0, 0, 'SIPmath Chart Data'!$E$6 )</definedName>
    <definedName name="PM_Risk_4_lbls">'SIPmath Chart Data'!$E$219:$E$320</definedName>
    <definedName name="PM_Risk_5_axis_lbls">OFFSET( 'SIPmath Chart Data'!$F$219:$F$320, 0, 0, 'SIPmath Chart Data'!$F$6 )</definedName>
    <definedName name="PM_Risk_5_bins">'SIPmath Chart Data'!$F$14:$F$114</definedName>
    <definedName name="PM_Risk_5_freq">'SIPmath Chart Data'!$F$116:$F$217</definedName>
    <definedName name="PM_Risk_5_hist_data">OFFSET( 'SIPmath Chart Data'!$F$116:$F$217, 0, 0, 'SIPmath Chart Data'!$F$6 )</definedName>
    <definedName name="PM_Risk_5_lbls">'SIPmath Chart Data'!$F$219:$F$320</definedName>
    <definedName name="PM_Risk_6_axis_lbls">OFFSET( 'SIPmath Chart Data'!$G$219:$G$320, 0, 0, 'SIPmath Chart Data'!$G$6 )</definedName>
    <definedName name="PM_Risk_6_bins">'SIPmath Chart Data'!$G$14:$G$114</definedName>
    <definedName name="PM_Risk_6_freq">'SIPmath Chart Data'!$G$116:$G$217</definedName>
    <definedName name="PM_Risk_6_hist_data">OFFSET( 'SIPmath Chart Data'!$G$116:$G$217, 0, 0, 'SIPmath Chart Data'!$G$6 )</definedName>
    <definedName name="PM_Risk_6_lbls">'SIPmath Chart Data'!$G$219:$G$320</definedName>
    <definedName name="PM_Risk_7_axis_lbls">OFFSET( 'SIPmath Chart Data'!$H$219:$H$320, 0, 0, 'SIPmath Chart Data'!$H$6 )</definedName>
    <definedName name="PM_Risk_7_bins">'SIPmath Chart Data'!$H$14:$H$114</definedName>
    <definedName name="PM_Risk_7_freq">'SIPmath Chart Data'!$H$116:$H$217</definedName>
    <definedName name="PM_Risk_7_hist_data">OFFSET( 'SIPmath Chart Data'!$H$116:$H$217, 0, 0, 'SIPmath Chart Data'!$H$6 )</definedName>
    <definedName name="PM_Risk_7_lbls">'SIPmath Chart Data'!$H$219:$H$320</definedName>
    <definedName name="PM_Risk_8_axis_lbls">OFFSET( 'SIPmath Chart Data'!$I$219:$I$320, 0, 0, 'SIPmath Chart Data'!$I$6 )</definedName>
    <definedName name="PM_Risk_8_bins">'SIPmath Chart Data'!$I$14:$I$114</definedName>
    <definedName name="PM_Risk_8_freq">'SIPmath Chart Data'!$I$116:$I$217</definedName>
    <definedName name="PM_Risk_8_hist_data">OFFSET( 'SIPmath Chart Data'!$I$116:$I$217, 0, 0, 'SIPmath Chart Data'!$I$6 )</definedName>
    <definedName name="PM_Risk_8_lbls">'SIPmath Chart Data'!$I$219:$I$320</definedName>
    <definedName name="PM_Risk_9_axis_lbls">OFFSET( 'SIPmath Chart Data'!$J$219:$J$320, 0, 0, 'SIPmath Chart Data'!$J$6 )</definedName>
    <definedName name="PM_Risk_9_bins">'SIPmath Chart Data'!$J$14:$J$114</definedName>
    <definedName name="PM_Risk_9_freq">'SIPmath Chart Data'!$J$116:$J$217</definedName>
    <definedName name="PM_Risk_9_hist_data">OFFSET( 'SIPmath Chart Data'!$J$116:$J$217, 0, 0, 'SIPmath Chart Data'!$J$6 )</definedName>
    <definedName name="PM_Risk_9_lbls">'SIPmath Chart Data'!$J$219:$J$320</definedName>
    <definedName name="PM_sparklinesForInputs" hidden="1">TRUE</definedName>
    <definedName name="PM_sparklinesForOutputs" hidden="1">TRUE</definedName>
    <definedName name="PM_sparklinesIONumberOfBins" hidden="1">10</definedName>
    <definedName name="PM_Total_axis_lbls">OFFSET( 'SIPmath Chart Data'!$L$219:$L$320, 0, 0, 'SIPmath Chart Data'!$L$6 )</definedName>
    <definedName name="PM_Total_bins">'SIPmath Chart Data'!$L$14:$L$114</definedName>
    <definedName name="PM_Total_freq">'SIPmath Chart Data'!$L$116:$L$217</definedName>
    <definedName name="PM_Total_hist_data">OFFSET( 'SIPmath Chart Data'!$L$116:$L$217, 0, 0, 'SIPmath Chart Data'!$L$6 )</definedName>
    <definedName name="PM_Total_lbls">'SIPmath Chart Data'!$L$219:$L$320</definedName>
    <definedName name="PM_Trials">1000</definedName>
    <definedName name="Risk_1">PMTable!$C$4:$C$1003</definedName>
    <definedName name="Risk_10">PMTable!$L$4:$L$1003</definedName>
    <definedName name="Risk_2">PMTable!$D$4:$D$1003</definedName>
    <definedName name="Risk_3">PMTable!$E$4:$E$1003</definedName>
    <definedName name="Risk_4">PMTable!$F$4:$F$1003</definedName>
    <definedName name="Risk_5">PMTable!$G$4:$G$1003</definedName>
    <definedName name="Risk_6">PMTable!$H$4:$H$1003</definedName>
    <definedName name="Risk_7">PMTable!$I$4:$I$1003</definedName>
    <definedName name="Risk_8">PMTable!$J$4:$J$1003</definedName>
    <definedName name="Risk_9">PMTable!$K$4:$K$1003</definedName>
    <definedName name="SimOpt_AccountDomain" hidden="1">""</definedName>
    <definedName name="SimOpt_AccountName" hidden="1">""</definedName>
    <definedName name="SimOpt_AccountPassword" hidden="1">""</definedName>
    <definedName name="SimOpt_CheckPrecisionAfter" hidden="1">100</definedName>
    <definedName name="SimOpt_GotoSample" hidden="1">0</definedName>
    <definedName name="SimOpt_Macros0" hidden="1">""</definedName>
    <definedName name="SimOpt_Macros1" hidden="1">""</definedName>
    <definedName name="SimOpt_Macros2" hidden="1">""</definedName>
    <definedName name="SimOpt_Macros3" hidden="1">""</definedName>
    <definedName name="SimOpt_MacrosUsage" hidden="1">0</definedName>
    <definedName name="SimOpt_MinSimBufferSize" hidden="1">5000000</definedName>
    <definedName name="SimOpt_RefreshExcel" hidden="1">0</definedName>
    <definedName name="SimOpt_RefreshRate" hidden="1">10</definedName>
    <definedName name="SimOpt_SamplesCount" hidden="1">5000</definedName>
    <definedName name="SimOpt_Seed0" hidden="1">0</definedName>
    <definedName name="SimOpt_SeedFixed" hidden="1">0</definedName>
    <definedName name="SimOpt_SeedMultiplyType" hidden="1">0</definedName>
    <definedName name="SimOpt_ServerAddress" hidden="1">""</definedName>
    <definedName name="SimOpt_ShowResultsAtEnd" hidden="1">1</definedName>
    <definedName name="SimOpt_SimName0" hidden="1">""</definedName>
    <definedName name="SimOpt_SimsCount" hidden="1">1</definedName>
    <definedName name="SimOpt_StopOnOutputError" hidden="1">0</definedName>
    <definedName name="SimOpt_UploadEnabled" hidden="1">0</definedName>
    <definedName name="SimOpt_UploadModel" hidden="1">0</definedName>
    <definedName name="SimOpt_UploadProfile" hidden="1">""</definedName>
    <definedName name="SimOpt_UploadRemotely" hidden="1">0</definedName>
    <definedName name="Total">PMTable!$M$4:$M$1003</definedName>
    <definedName name="_xlnm.Print_Area" localSheetId="2">Графики!$A$1:$Z$19</definedName>
    <definedName name="_xlnm.Print_Area" localSheetId="0">Описание!$A$1:$Y$73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7" i="2" l="1"/>
  <c r="Y6" i="2" l="1"/>
  <c r="Y5" i="2"/>
  <c r="Y4" i="2"/>
  <c r="T8" i="2"/>
  <c r="T7" i="2"/>
  <c r="T6" i="2"/>
  <c r="T5" i="2"/>
  <c r="D18" i="2" l="1"/>
  <c r="D19" i="2"/>
  <c r="D20" i="2"/>
  <c r="D21" i="2"/>
  <c r="D22" i="2"/>
  <c r="D23" i="2"/>
  <c r="D24" i="2"/>
  <c r="D25" i="2"/>
  <c r="D26" i="2"/>
  <c r="D17" i="2"/>
  <c r="M14" i="1" l="1"/>
  <c r="E26" i="2" s="1"/>
  <c r="K26" i="2" s="1"/>
  <c r="M13" i="1"/>
  <c r="E25" i="2" s="1"/>
  <c r="K25" i="2" s="1"/>
  <c r="M12" i="1"/>
  <c r="E24" i="2" s="1"/>
  <c r="K24" i="2" s="1"/>
  <c r="M11" i="1"/>
  <c r="E23" i="2" s="1"/>
  <c r="K23" i="2" s="1"/>
  <c r="M10" i="1"/>
  <c r="E22" i="2" s="1"/>
  <c r="K22" i="2" s="1"/>
  <c r="M9" i="1"/>
  <c r="E21" i="2" s="1"/>
  <c r="K21" i="2" s="1"/>
  <c r="M8" i="1"/>
  <c r="E20" i="2" s="1"/>
  <c r="K20" i="2" s="1"/>
  <c r="M7" i="1"/>
  <c r="E19" i="2" s="1"/>
  <c r="K19" i="2" s="1"/>
  <c r="M6" i="1"/>
  <c r="E18" i="2" s="1"/>
  <c r="K18" i="2" s="1"/>
  <c r="M5" i="1"/>
  <c r="E17" i="2" s="1"/>
  <c r="K17" i="2" s="1"/>
  <c r="L13" i="5"/>
  <c r="L219" i="5" s="1"/>
  <c r="L12" i="5"/>
  <c r="L6" i="5"/>
  <c r="L2" i="5"/>
  <c r="L3" i="5" s="1"/>
  <c r="N14" i="1"/>
  <c r="N13" i="1"/>
  <c r="N12" i="1"/>
  <c r="N11" i="1"/>
  <c r="N10" i="1"/>
  <c r="N9" i="1"/>
  <c r="N8" i="1"/>
  <c r="N7" i="1"/>
  <c r="N6" i="1"/>
  <c r="N5" i="1"/>
  <c r="K14" i="1"/>
  <c r="K13" i="1"/>
  <c r="K12" i="1"/>
  <c r="K11" i="1"/>
  <c r="K10" i="1"/>
  <c r="K9" i="1"/>
  <c r="K8" i="1"/>
  <c r="K7" i="1"/>
  <c r="K6" i="1"/>
  <c r="K5" i="1"/>
  <c r="K13" i="5"/>
  <c r="K219" i="5" s="1"/>
  <c r="K12" i="5"/>
  <c r="K6" i="5"/>
  <c r="K2" i="5"/>
  <c r="K3" i="5" s="1"/>
  <c r="J13" i="5"/>
  <c r="J219" i="5" s="1"/>
  <c r="J12" i="5"/>
  <c r="J6" i="5"/>
  <c r="J2" i="5"/>
  <c r="J3" i="5" s="1"/>
  <c r="I13" i="5"/>
  <c r="I12" i="5"/>
  <c r="I6" i="5"/>
  <c r="I2" i="5"/>
  <c r="I3" i="5" s="1"/>
  <c r="H13" i="5"/>
  <c r="H219" i="5" s="1"/>
  <c r="H12" i="5"/>
  <c r="H6" i="5"/>
  <c r="H2" i="5"/>
  <c r="H3" i="5" s="1"/>
  <c r="G13" i="5"/>
  <c r="G219" i="5" s="1"/>
  <c r="G12" i="5"/>
  <c r="G6" i="5"/>
  <c r="G2" i="5"/>
  <c r="G3" i="5" s="1"/>
  <c r="F13" i="5"/>
  <c r="F12" i="5"/>
  <c r="F6" i="5"/>
  <c r="F2" i="5"/>
  <c r="F3" i="5" s="1"/>
  <c r="E13" i="5"/>
  <c r="E12" i="5"/>
  <c r="E6" i="5"/>
  <c r="E2" i="5"/>
  <c r="E3" i="5" s="1"/>
  <c r="D13" i="5"/>
  <c r="D219" i="5" s="1"/>
  <c r="D12" i="5"/>
  <c r="D6" i="5"/>
  <c r="D2" i="5"/>
  <c r="D3" i="5" s="1"/>
  <c r="C13" i="5"/>
  <c r="C12" i="5"/>
  <c r="C6" i="5"/>
  <c r="C2" i="5"/>
  <c r="C3" i="5" s="1"/>
  <c r="B13" i="5"/>
  <c r="B219" i="5" s="1"/>
  <c r="B12" i="5"/>
  <c r="B6" i="5"/>
  <c r="B2" i="5"/>
  <c r="B3" i="5" s="1"/>
  <c r="P14" i="1"/>
  <c r="G26" i="1" s="1"/>
  <c r="P13" i="1"/>
  <c r="G25" i="1" s="1"/>
  <c r="P12" i="1"/>
  <c r="G24" i="1" s="1"/>
  <c r="P11" i="1"/>
  <c r="G23" i="1" s="1"/>
  <c r="P10" i="1"/>
  <c r="G22" i="1" s="1"/>
  <c r="P9" i="1"/>
  <c r="G21" i="1" s="1"/>
  <c r="P8" i="1"/>
  <c r="G20" i="1" s="1"/>
  <c r="P7" i="1"/>
  <c r="G19" i="1" s="1"/>
  <c r="P6" i="1"/>
  <c r="G18" i="1" s="1"/>
  <c r="P5" i="1"/>
  <c r="G17" i="1" s="1"/>
  <c r="O5" i="1"/>
  <c r="F17" i="1" s="1"/>
  <c r="O6" i="1"/>
  <c r="F18" i="1" s="1"/>
  <c r="O7" i="1"/>
  <c r="F19" i="1" s="1"/>
  <c r="O8" i="1"/>
  <c r="F20" i="1" s="1"/>
  <c r="O9" i="1"/>
  <c r="F21" i="1" s="1"/>
  <c r="O10" i="1"/>
  <c r="F22" i="1" s="1"/>
  <c r="O11" i="1"/>
  <c r="F23" i="1" s="1"/>
  <c r="O12" i="1"/>
  <c r="F24" i="1" s="1"/>
  <c r="O13" i="1"/>
  <c r="F25" i="1" s="1"/>
  <c r="O14" i="1"/>
  <c r="F26" i="1" s="1"/>
  <c r="J14" i="1" l="1"/>
  <c r="L3" i="4" s="1"/>
  <c r="F8" i="5"/>
  <c r="F14" i="5" s="1"/>
  <c r="F15" i="5" s="1"/>
  <c r="F17" i="2"/>
  <c r="L8" i="5"/>
  <c r="L14" i="5" s="1"/>
  <c r="J10" i="1"/>
  <c r="H3" i="4" s="1"/>
  <c r="G8" i="5"/>
  <c r="G14" i="5" s="1"/>
  <c r="G220" i="5" s="1"/>
  <c r="C8" i="5"/>
  <c r="C14" i="5" s="1"/>
  <c r="H8" i="5"/>
  <c r="H14" i="5" s="1"/>
  <c r="H15" i="5" s="1"/>
  <c r="J6" i="1"/>
  <c r="D3" i="4" s="1"/>
  <c r="J8" i="5"/>
  <c r="J14" i="5" s="1"/>
  <c r="J15" i="5" s="1"/>
  <c r="F219" i="5"/>
  <c r="K8" i="5"/>
  <c r="K14" i="5" s="1"/>
  <c r="K15" i="5" s="1"/>
  <c r="J7" i="1"/>
  <c r="E3" i="4" s="1"/>
  <c r="C219" i="5"/>
  <c r="B8" i="5"/>
  <c r="B14" i="5" s="1"/>
  <c r="D8" i="5"/>
  <c r="D14" i="5" s="1"/>
  <c r="E8" i="5"/>
  <c r="E14" i="5" s="1"/>
  <c r="E219" i="5"/>
  <c r="I219" i="5"/>
  <c r="I8" i="5"/>
  <c r="I14" i="5" s="1"/>
  <c r="J8" i="1"/>
  <c r="F3" i="4" s="1"/>
  <c r="J11" i="1"/>
  <c r="I3" i="4" s="1"/>
  <c r="J9" i="1"/>
  <c r="G3" i="4" s="1"/>
  <c r="J13" i="1"/>
  <c r="K3" i="4" s="1"/>
  <c r="J5" i="1"/>
  <c r="J12" i="1"/>
  <c r="J3" i="4" s="1"/>
  <c r="F35" i="2"/>
  <c r="C59" i="2" s="1"/>
  <c r="G35" i="2"/>
  <c r="C60" i="2" s="1"/>
  <c r="H35" i="2"/>
  <c r="C61" i="2" s="1"/>
  <c r="F36" i="2"/>
  <c r="C54" i="2" s="1"/>
  <c r="G36" i="2"/>
  <c r="C55" i="2" s="1"/>
  <c r="H36" i="2"/>
  <c r="C56" i="2" s="1"/>
  <c r="F37" i="2"/>
  <c r="C49" i="2" s="1"/>
  <c r="G37" i="2"/>
  <c r="C50" i="2" s="1"/>
  <c r="H37" i="2"/>
  <c r="C51" i="2" s="1"/>
  <c r="F38" i="2"/>
  <c r="C44" i="2" s="1"/>
  <c r="G38" i="2"/>
  <c r="C45" i="2" s="1"/>
  <c r="H38" i="2"/>
  <c r="C46" i="2" s="1"/>
  <c r="H34" i="2"/>
  <c r="C66" i="2" s="1"/>
  <c r="G34" i="2"/>
  <c r="C65" i="2" s="1"/>
  <c r="F34" i="2"/>
  <c r="C64" i="2" s="1"/>
  <c r="E35" i="2"/>
  <c r="C58" i="2" s="1"/>
  <c r="E36" i="2"/>
  <c r="C53" i="2" s="1"/>
  <c r="E37" i="2"/>
  <c r="C48" i="2" s="1"/>
  <c r="E38" i="2"/>
  <c r="C43" i="2" s="1"/>
  <c r="E34" i="2"/>
  <c r="C63" i="2" s="1"/>
  <c r="D35" i="2"/>
  <c r="C57" i="2" s="1"/>
  <c r="D36" i="2"/>
  <c r="C52" i="2" s="1"/>
  <c r="D37" i="2"/>
  <c r="C47" i="2" s="1"/>
  <c r="D38" i="2"/>
  <c r="C42" i="2" s="1"/>
  <c r="D34" i="2"/>
  <c r="C62" i="2" s="1"/>
  <c r="F220" i="5" l="1"/>
  <c r="G15" i="5"/>
  <c r="G16" i="5" s="1"/>
  <c r="L220" i="5"/>
  <c r="L15" i="5"/>
  <c r="H220" i="5"/>
  <c r="J220" i="5"/>
  <c r="K220" i="5"/>
  <c r="C3" i="4"/>
  <c r="M3" i="4"/>
  <c r="E220" i="5"/>
  <c r="E15" i="5"/>
  <c r="D220" i="5"/>
  <c r="D15" i="5"/>
  <c r="I15" i="5"/>
  <c r="I220" i="5"/>
  <c r="B220" i="5"/>
  <c r="B15" i="5"/>
  <c r="H16" i="5"/>
  <c r="H221" i="5"/>
  <c r="K16" i="5"/>
  <c r="K221" i="5"/>
  <c r="F16" i="5"/>
  <c r="F221" i="5"/>
  <c r="J221" i="5"/>
  <c r="J16" i="5"/>
  <c r="C220" i="5"/>
  <c r="C15" i="5"/>
  <c r="C18" i="2"/>
  <c r="C19" i="2"/>
  <c r="C20" i="2"/>
  <c r="C21" i="2"/>
  <c r="C22" i="2"/>
  <c r="C23" i="2"/>
  <c r="C24" i="2"/>
  <c r="C25" i="2"/>
  <c r="C26" i="2"/>
  <c r="C17" i="2"/>
  <c r="G221" i="5" l="1"/>
  <c r="L16" i="5"/>
  <c r="L221" i="5"/>
  <c r="H222" i="5"/>
  <c r="H17" i="5"/>
  <c r="B16" i="5"/>
  <c r="B221" i="5"/>
  <c r="C221" i="5"/>
  <c r="C16" i="5"/>
  <c r="F17" i="5"/>
  <c r="F222" i="5"/>
  <c r="D16" i="5"/>
  <c r="D221" i="5"/>
  <c r="I16" i="5"/>
  <c r="I221" i="5"/>
  <c r="G222" i="5"/>
  <c r="G17" i="5"/>
  <c r="E16" i="5"/>
  <c r="E221" i="5"/>
  <c r="K222" i="5"/>
  <c r="K17" i="5"/>
  <c r="J222" i="5"/>
  <c r="J17" i="5"/>
  <c r="A14" i="1"/>
  <c r="A13" i="1"/>
  <c r="A9" i="1"/>
  <c r="A12" i="1"/>
  <c r="A8" i="1"/>
  <c r="A11" i="1"/>
  <c r="A6" i="1"/>
  <c r="A10" i="1"/>
  <c r="A5" i="1"/>
  <c r="A14" i="2"/>
  <c r="B14" i="2" s="1"/>
  <c r="C14" i="2" s="1"/>
  <c r="A7" i="1"/>
  <c r="A15" i="2"/>
  <c r="L222" i="5" l="1"/>
  <c r="L17" i="5"/>
  <c r="G223" i="5"/>
  <c r="G18" i="5"/>
  <c r="C222" i="5"/>
  <c r="C17" i="5"/>
  <c r="I222" i="5"/>
  <c r="I17" i="5"/>
  <c r="B17" i="5"/>
  <c r="B222" i="5"/>
  <c r="K18" i="5"/>
  <c r="K223" i="5"/>
  <c r="H18" i="5"/>
  <c r="H223" i="5"/>
  <c r="J18" i="5"/>
  <c r="J223" i="5"/>
  <c r="D222" i="5"/>
  <c r="D17" i="5"/>
  <c r="E222" i="5"/>
  <c r="E17" i="5"/>
  <c r="F223" i="5"/>
  <c r="F18" i="5"/>
  <c r="F23" i="2"/>
  <c r="F26" i="2"/>
  <c r="F22" i="2"/>
  <c r="F25" i="2"/>
  <c r="F21" i="2"/>
  <c r="F24" i="2"/>
  <c r="F20" i="2"/>
  <c r="F19" i="2"/>
  <c r="F18" i="2"/>
  <c r="B4" i="2"/>
  <c r="B7" i="2"/>
  <c r="B9" i="2"/>
  <c r="B5" i="2"/>
  <c r="B6" i="2"/>
  <c r="B11" i="2"/>
  <c r="B12" i="2"/>
  <c r="B13" i="2"/>
  <c r="B10" i="2"/>
  <c r="B8" i="2"/>
  <c r="C10" i="2" l="1"/>
  <c r="D10" i="2"/>
  <c r="C6" i="2"/>
  <c r="D6" i="2"/>
  <c r="C4" i="2"/>
  <c r="D4" i="2"/>
  <c r="D13" i="2"/>
  <c r="C13" i="2"/>
  <c r="D5" i="2"/>
  <c r="C5" i="2"/>
  <c r="D12" i="2"/>
  <c r="C12" i="2"/>
  <c r="D9" i="2"/>
  <c r="C9" i="2"/>
  <c r="D8" i="2"/>
  <c r="C8" i="2"/>
  <c r="C11" i="2"/>
  <c r="D11" i="2"/>
  <c r="C7" i="2"/>
  <c r="D7" i="2"/>
  <c r="L223" i="5"/>
  <c r="L18" i="5"/>
  <c r="F224" i="5"/>
  <c r="F19" i="5"/>
  <c r="B223" i="5"/>
  <c r="B18" i="5"/>
  <c r="J19" i="5"/>
  <c r="J224" i="5"/>
  <c r="I18" i="5"/>
  <c r="I223" i="5"/>
  <c r="E18" i="5"/>
  <c r="E223" i="5"/>
  <c r="H224" i="5"/>
  <c r="H19" i="5"/>
  <c r="C18" i="5"/>
  <c r="C223" i="5"/>
  <c r="K224" i="5"/>
  <c r="K19" i="5"/>
  <c r="G19" i="5"/>
  <c r="G224" i="5"/>
  <c r="D223" i="5"/>
  <c r="D18" i="5"/>
  <c r="D42" i="2"/>
  <c r="D64" i="2"/>
  <c r="D48" i="2"/>
  <c r="D44" i="2"/>
  <c r="D49" i="2"/>
  <c r="D65" i="2"/>
  <c r="D63" i="2"/>
  <c r="D61" i="2"/>
  <c r="D55" i="2"/>
  <c r="D45" i="2"/>
  <c r="D43" i="2"/>
  <c r="D60" i="2"/>
  <c r="D62" i="2"/>
  <c r="D57" i="2"/>
  <c r="D58" i="2"/>
  <c r="D56" i="2"/>
  <c r="D66" i="2"/>
  <c r="D51" i="2"/>
  <c r="D50" i="2"/>
  <c r="D53" i="2"/>
  <c r="D54" i="2"/>
  <c r="D52" i="2"/>
  <c r="D46" i="2"/>
  <c r="D47" i="2"/>
  <c r="D59" i="2"/>
  <c r="H17" i="2" l="1"/>
  <c r="I17" i="2" s="1"/>
  <c r="H24" i="2"/>
  <c r="I24" i="2" s="1"/>
  <c r="L224" i="5"/>
  <c r="L19" i="5"/>
  <c r="I224" i="5"/>
  <c r="I19" i="5"/>
  <c r="G20" i="5"/>
  <c r="G225" i="5"/>
  <c r="H20" i="5"/>
  <c r="H225" i="5"/>
  <c r="K225" i="5"/>
  <c r="K20" i="5"/>
  <c r="J225" i="5"/>
  <c r="J20" i="5"/>
  <c r="B224" i="5"/>
  <c r="B19" i="5"/>
  <c r="D224" i="5"/>
  <c r="D19" i="5"/>
  <c r="E224" i="5"/>
  <c r="E19" i="5"/>
  <c r="F20" i="5"/>
  <c r="F225" i="5"/>
  <c r="C224" i="5"/>
  <c r="C19" i="5"/>
  <c r="H19" i="2"/>
  <c r="I19" i="2" s="1"/>
  <c r="H26" i="2"/>
  <c r="I26" i="2" s="1"/>
  <c r="H22" i="2"/>
  <c r="I22" i="2" s="1"/>
  <c r="H20" i="2"/>
  <c r="I20" i="2" s="1"/>
  <c r="H25" i="2"/>
  <c r="I25" i="2" s="1"/>
  <c r="H18" i="2"/>
  <c r="I18" i="2" s="1"/>
  <c r="H21" i="2"/>
  <c r="I21" i="2" s="1"/>
  <c r="H23" i="2"/>
  <c r="L23" i="2" l="1"/>
  <c r="I23" i="2"/>
  <c r="L24" i="2"/>
  <c r="J24" i="2" s="1"/>
  <c r="L17" i="2"/>
  <c r="J17" i="2" s="1"/>
  <c r="L20" i="5"/>
  <c r="L225" i="5"/>
  <c r="B225" i="5"/>
  <c r="B20" i="5"/>
  <c r="H226" i="5"/>
  <c r="H21" i="5"/>
  <c r="F226" i="5"/>
  <c r="F21" i="5"/>
  <c r="J226" i="5"/>
  <c r="J21" i="5"/>
  <c r="E225" i="5"/>
  <c r="E20" i="5"/>
  <c r="G226" i="5"/>
  <c r="G21" i="5"/>
  <c r="I225" i="5"/>
  <c r="I20" i="5"/>
  <c r="K21" i="5"/>
  <c r="K226" i="5"/>
  <c r="D20" i="5"/>
  <c r="D225" i="5"/>
  <c r="C225" i="5"/>
  <c r="C20" i="5"/>
  <c r="L20" i="2"/>
  <c r="J20" i="2" s="1"/>
  <c r="L26" i="2"/>
  <c r="J26" i="2" s="1"/>
  <c r="L22" i="2"/>
  <c r="J22" i="2" s="1"/>
  <c r="L19" i="2"/>
  <c r="J19" i="2" s="1"/>
  <c r="L21" i="2"/>
  <c r="J21" i="2" s="1"/>
  <c r="L18" i="2"/>
  <c r="J18" i="2" s="1"/>
  <c r="L25" i="2"/>
  <c r="J25" i="2" s="1"/>
  <c r="J23" i="2" l="1"/>
  <c r="L21" i="5"/>
  <c r="L226" i="5"/>
  <c r="C21" i="5"/>
  <c r="C226" i="5"/>
  <c r="G227" i="5"/>
  <c r="G22" i="5"/>
  <c r="F22" i="5"/>
  <c r="F227" i="5"/>
  <c r="I226" i="5"/>
  <c r="I21" i="5"/>
  <c r="E226" i="5"/>
  <c r="E21" i="5"/>
  <c r="H227" i="5"/>
  <c r="H22" i="5"/>
  <c r="D226" i="5"/>
  <c r="D21" i="5"/>
  <c r="B226" i="5"/>
  <c r="B21" i="5"/>
  <c r="K227" i="5"/>
  <c r="K22" i="5"/>
  <c r="J227" i="5"/>
  <c r="J22" i="5"/>
  <c r="L227" i="5" l="1"/>
  <c r="L22" i="5"/>
  <c r="I227" i="5"/>
  <c r="I22" i="5"/>
  <c r="J228" i="5"/>
  <c r="J23" i="5"/>
  <c r="H23" i="5"/>
  <c r="H228" i="5"/>
  <c r="F228" i="5"/>
  <c r="F23" i="5"/>
  <c r="G228" i="5"/>
  <c r="G23" i="5"/>
  <c r="D227" i="5"/>
  <c r="D22" i="5"/>
  <c r="K228" i="5"/>
  <c r="K23" i="5"/>
  <c r="E227" i="5"/>
  <c r="E22" i="5"/>
  <c r="B227" i="5"/>
  <c r="B22" i="5"/>
  <c r="C22" i="5"/>
  <c r="C227" i="5"/>
  <c r="L228" i="5" l="1"/>
  <c r="L23" i="5"/>
  <c r="F24" i="5"/>
  <c r="F229" i="5"/>
  <c r="D228" i="5"/>
  <c r="D23" i="5"/>
  <c r="H229" i="5"/>
  <c r="H24" i="5"/>
  <c r="J229" i="5"/>
  <c r="J24" i="5"/>
  <c r="K24" i="5"/>
  <c r="K229" i="5"/>
  <c r="C228" i="5"/>
  <c r="C23" i="5"/>
  <c r="B228" i="5"/>
  <c r="B23" i="5"/>
  <c r="G24" i="5"/>
  <c r="G229" i="5"/>
  <c r="I23" i="5"/>
  <c r="I228" i="5"/>
  <c r="E23" i="5"/>
  <c r="E228" i="5"/>
  <c r="L24" i="5" l="1"/>
  <c r="L229" i="5"/>
  <c r="J230" i="5"/>
  <c r="J25" i="5"/>
  <c r="G230" i="5"/>
  <c r="G25" i="5"/>
  <c r="H230" i="5"/>
  <c r="H25" i="5"/>
  <c r="C229" i="5"/>
  <c r="C24" i="5"/>
  <c r="D24" i="5"/>
  <c r="D229" i="5"/>
  <c r="E229" i="5"/>
  <c r="E24" i="5"/>
  <c r="B24" i="5"/>
  <c r="B229" i="5"/>
  <c r="I229" i="5"/>
  <c r="I24" i="5"/>
  <c r="K230" i="5"/>
  <c r="K25" i="5"/>
  <c r="F25" i="5"/>
  <c r="F230" i="5"/>
  <c r="L230" i="5" l="1"/>
  <c r="L25" i="5"/>
  <c r="C230" i="5"/>
  <c r="C25" i="5"/>
  <c r="H26" i="5"/>
  <c r="H231" i="5"/>
  <c r="I230" i="5"/>
  <c r="I25" i="5"/>
  <c r="B25" i="5"/>
  <c r="B230" i="5"/>
  <c r="E230" i="5"/>
  <c r="E25" i="5"/>
  <c r="G231" i="5"/>
  <c r="G26" i="5"/>
  <c r="F26" i="5"/>
  <c r="F231" i="5"/>
  <c r="K26" i="5"/>
  <c r="K231" i="5"/>
  <c r="J26" i="5"/>
  <c r="J231" i="5"/>
  <c r="D25" i="5"/>
  <c r="D230" i="5"/>
  <c r="L231" i="5" l="1"/>
  <c r="L26" i="5"/>
  <c r="K27" i="5"/>
  <c r="K232" i="5"/>
  <c r="I26" i="5"/>
  <c r="I231" i="5"/>
  <c r="B26" i="5"/>
  <c r="B231" i="5"/>
  <c r="F232" i="5"/>
  <c r="F27" i="5"/>
  <c r="G232" i="5"/>
  <c r="G27" i="5"/>
  <c r="D231" i="5"/>
  <c r="D26" i="5"/>
  <c r="H232" i="5"/>
  <c r="H27" i="5"/>
  <c r="E26" i="5"/>
  <c r="E231" i="5"/>
  <c r="C26" i="5"/>
  <c r="C231" i="5"/>
  <c r="J232" i="5"/>
  <c r="J27" i="5"/>
  <c r="L232" i="5" l="1"/>
  <c r="L27" i="5"/>
  <c r="F233" i="5"/>
  <c r="F28" i="5"/>
  <c r="E232" i="5"/>
  <c r="E27" i="5"/>
  <c r="B232" i="5"/>
  <c r="B27" i="5"/>
  <c r="J233" i="5"/>
  <c r="J28" i="5"/>
  <c r="I232" i="5"/>
  <c r="I27" i="5"/>
  <c r="G28" i="5"/>
  <c r="G233" i="5"/>
  <c r="H233" i="5"/>
  <c r="H28" i="5"/>
  <c r="D232" i="5"/>
  <c r="D27" i="5"/>
  <c r="C232" i="5"/>
  <c r="C27" i="5"/>
  <c r="K233" i="5"/>
  <c r="K28" i="5"/>
  <c r="L28" i="5" l="1"/>
  <c r="L233" i="5"/>
  <c r="J29" i="5"/>
  <c r="J234" i="5"/>
  <c r="B28" i="5"/>
  <c r="B233" i="5"/>
  <c r="E233" i="5"/>
  <c r="E28" i="5"/>
  <c r="K29" i="5"/>
  <c r="K234" i="5"/>
  <c r="D233" i="5"/>
  <c r="D28" i="5"/>
  <c r="H234" i="5"/>
  <c r="H29" i="5"/>
  <c r="G234" i="5"/>
  <c r="G29" i="5"/>
  <c r="C233" i="5"/>
  <c r="C28" i="5"/>
  <c r="I28" i="5"/>
  <c r="I233" i="5"/>
  <c r="F234" i="5"/>
  <c r="F29" i="5"/>
  <c r="L29" i="5" l="1"/>
  <c r="L234" i="5"/>
  <c r="C234" i="5"/>
  <c r="C29" i="5"/>
  <c r="G235" i="5"/>
  <c r="G30" i="5"/>
  <c r="E234" i="5"/>
  <c r="E29" i="5"/>
  <c r="H30" i="5"/>
  <c r="H235" i="5"/>
  <c r="B234" i="5"/>
  <c r="B29" i="5"/>
  <c r="D234" i="5"/>
  <c r="D29" i="5"/>
  <c r="K235" i="5"/>
  <c r="K30" i="5"/>
  <c r="F235" i="5"/>
  <c r="F30" i="5"/>
  <c r="I234" i="5"/>
  <c r="I29" i="5"/>
  <c r="J30" i="5"/>
  <c r="J235" i="5"/>
  <c r="L235" i="5" l="1"/>
  <c r="L30" i="5"/>
  <c r="K236" i="5"/>
  <c r="K31" i="5"/>
  <c r="F31" i="5"/>
  <c r="F236" i="5"/>
  <c r="E30" i="5"/>
  <c r="E235" i="5"/>
  <c r="D235" i="5"/>
  <c r="D30" i="5"/>
  <c r="G31" i="5"/>
  <c r="G236" i="5"/>
  <c r="J31" i="5"/>
  <c r="J236" i="5"/>
  <c r="I30" i="5"/>
  <c r="I235" i="5"/>
  <c r="B235" i="5"/>
  <c r="B30" i="5"/>
  <c r="C30" i="5"/>
  <c r="C235" i="5"/>
  <c r="H236" i="5"/>
  <c r="H31" i="5"/>
  <c r="L236" i="5" l="1"/>
  <c r="L31" i="5"/>
  <c r="D31" i="5"/>
  <c r="D236" i="5"/>
  <c r="I31" i="5"/>
  <c r="I236" i="5"/>
  <c r="E236" i="5"/>
  <c r="E31" i="5"/>
  <c r="H32" i="5"/>
  <c r="H237" i="5"/>
  <c r="B236" i="5"/>
  <c r="B31" i="5"/>
  <c r="J237" i="5"/>
  <c r="J32" i="5"/>
  <c r="F32" i="5"/>
  <c r="F237" i="5"/>
  <c r="K237" i="5"/>
  <c r="K32" i="5"/>
  <c r="C31" i="5"/>
  <c r="C236" i="5"/>
  <c r="G32" i="5"/>
  <c r="G237" i="5"/>
  <c r="L32" i="5" l="1"/>
  <c r="L237" i="5"/>
  <c r="E237" i="5"/>
  <c r="E32" i="5"/>
  <c r="H238" i="5"/>
  <c r="H33" i="5"/>
  <c r="F33" i="5"/>
  <c r="F238" i="5"/>
  <c r="K238" i="5"/>
  <c r="K33" i="5"/>
  <c r="G238" i="5"/>
  <c r="G33" i="5"/>
  <c r="I237" i="5"/>
  <c r="I32" i="5"/>
  <c r="B237" i="5"/>
  <c r="B32" i="5"/>
  <c r="J238" i="5"/>
  <c r="J33" i="5"/>
  <c r="C237" i="5"/>
  <c r="C32" i="5"/>
  <c r="D32" i="5"/>
  <c r="D237" i="5"/>
  <c r="L238" i="5" l="1"/>
  <c r="L33" i="5"/>
  <c r="K239" i="5"/>
  <c r="K34" i="5"/>
  <c r="F34" i="5"/>
  <c r="F239" i="5"/>
  <c r="H34" i="5"/>
  <c r="H239" i="5"/>
  <c r="J34" i="5"/>
  <c r="J239" i="5"/>
  <c r="D238" i="5"/>
  <c r="D33" i="5"/>
  <c r="I238" i="5"/>
  <c r="I33" i="5"/>
  <c r="C238" i="5"/>
  <c r="C33" i="5"/>
  <c r="G239" i="5"/>
  <c r="G34" i="5"/>
  <c r="E33" i="5"/>
  <c r="E238" i="5"/>
  <c r="B238" i="5"/>
  <c r="B33" i="5"/>
  <c r="L239" i="5" l="1"/>
  <c r="L34" i="5"/>
  <c r="J35" i="5"/>
  <c r="J240" i="5"/>
  <c r="G35" i="5"/>
  <c r="G240" i="5"/>
  <c r="H240" i="5"/>
  <c r="H35" i="5"/>
  <c r="I239" i="5"/>
  <c r="I34" i="5"/>
  <c r="F240" i="5"/>
  <c r="F35" i="5"/>
  <c r="C34" i="5"/>
  <c r="C239" i="5"/>
  <c r="D239" i="5"/>
  <c r="D34" i="5"/>
  <c r="K35" i="5"/>
  <c r="K240" i="5"/>
  <c r="B34" i="5"/>
  <c r="B239" i="5"/>
  <c r="E34" i="5"/>
  <c r="E239" i="5"/>
  <c r="L240" i="5" l="1"/>
  <c r="L35" i="5"/>
  <c r="I240" i="5"/>
  <c r="I35" i="5"/>
  <c r="K36" i="5"/>
  <c r="K241" i="5"/>
  <c r="H241" i="5"/>
  <c r="H36" i="5"/>
  <c r="E240" i="5"/>
  <c r="E35" i="5"/>
  <c r="C240" i="5"/>
  <c r="C35" i="5"/>
  <c r="G241" i="5"/>
  <c r="G36" i="5"/>
  <c r="F241" i="5"/>
  <c r="F36" i="5"/>
  <c r="D240" i="5"/>
  <c r="D35" i="5"/>
  <c r="B240" i="5"/>
  <c r="B35" i="5"/>
  <c r="J241" i="5"/>
  <c r="J36" i="5"/>
  <c r="L36" i="5" l="1"/>
  <c r="L241" i="5"/>
  <c r="D36" i="5"/>
  <c r="D241" i="5"/>
  <c r="E241" i="5"/>
  <c r="E36" i="5"/>
  <c r="H242" i="5"/>
  <c r="H37" i="5"/>
  <c r="J37" i="5"/>
  <c r="J242" i="5"/>
  <c r="G37" i="5"/>
  <c r="G242" i="5"/>
  <c r="K37" i="5"/>
  <c r="K242" i="5"/>
  <c r="B36" i="5"/>
  <c r="B241" i="5"/>
  <c r="C241" i="5"/>
  <c r="C36" i="5"/>
  <c r="I36" i="5"/>
  <c r="I241" i="5"/>
  <c r="F242" i="5"/>
  <c r="F37" i="5"/>
  <c r="L37" i="5" l="1"/>
  <c r="L242" i="5"/>
  <c r="J243" i="5"/>
  <c r="J38" i="5"/>
  <c r="H243" i="5"/>
  <c r="H38" i="5"/>
  <c r="B37" i="5"/>
  <c r="B242" i="5"/>
  <c r="E242" i="5"/>
  <c r="E37" i="5"/>
  <c r="K38" i="5"/>
  <c r="K243" i="5"/>
  <c r="F243" i="5"/>
  <c r="F38" i="5"/>
  <c r="C242" i="5"/>
  <c r="C37" i="5"/>
  <c r="I37" i="5"/>
  <c r="I242" i="5"/>
  <c r="G243" i="5"/>
  <c r="G38" i="5"/>
  <c r="D242" i="5"/>
  <c r="D37" i="5"/>
  <c r="L243" i="5" l="1"/>
  <c r="L38" i="5"/>
  <c r="E243" i="5"/>
  <c r="E38" i="5"/>
  <c r="I243" i="5"/>
  <c r="I38" i="5"/>
  <c r="B38" i="5"/>
  <c r="B243" i="5"/>
  <c r="F39" i="5"/>
  <c r="F244" i="5"/>
  <c r="H39" i="5"/>
  <c r="H244" i="5"/>
  <c r="D38" i="5"/>
  <c r="D243" i="5"/>
  <c r="G244" i="5"/>
  <c r="G39" i="5"/>
  <c r="J244" i="5"/>
  <c r="J39" i="5"/>
  <c r="C243" i="5"/>
  <c r="C38" i="5"/>
  <c r="K244" i="5"/>
  <c r="K39" i="5"/>
  <c r="L244" i="5" l="1"/>
  <c r="L39" i="5"/>
  <c r="F40" i="5"/>
  <c r="F245" i="5"/>
  <c r="B244" i="5"/>
  <c r="B39" i="5"/>
  <c r="I244" i="5"/>
  <c r="I39" i="5"/>
  <c r="D244" i="5"/>
  <c r="D39" i="5"/>
  <c r="G40" i="5"/>
  <c r="G245" i="5"/>
  <c r="C39" i="5"/>
  <c r="C244" i="5"/>
  <c r="E244" i="5"/>
  <c r="E39" i="5"/>
  <c r="J40" i="5"/>
  <c r="J245" i="5"/>
  <c r="K245" i="5"/>
  <c r="K40" i="5"/>
  <c r="H40" i="5"/>
  <c r="H245" i="5"/>
  <c r="L40" i="5" l="1"/>
  <c r="L245" i="5"/>
  <c r="D245" i="5"/>
  <c r="D40" i="5"/>
  <c r="I40" i="5"/>
  <c r="I245" i="5"/>
  <c r="B245" i="5"/>
  <c r="B40" i="5"/>
  <c r="H246" i="5"/>
  <c r="H41" i="5"/>
  <c r="C245" i="5"/>
  <c r="C40" i="5"/>
  <c r="E245" i="5"/>
  <c r="E40" i="5"/>
  <c r="K246" i="5"/>
  <c r="K41" i="5"/>
  <c r="J246" i="5"/>
  <c r="J41" i="5"/>
  <c r="G246" i="5"/>
  <c r="G41" i="5"/>
  <c r="F41" i="5"/>
  <c r="F246" i="5"/>
  <c r="L246" i="5" l="1"/>
  <c r="L41" i="5"/>
  <c r="H247" i="5"/>
  <c r="H42" i="5"/>
  <c r="B246" i="5"/>
  <c r="B41" i="5"/>
  <c r="F42" i="5"/>
  <c r="F247" i="5"/>
  <c r="I41" i="5"/>
  <c r="I246" i="5"/>
  <c r="K247" i="5"/>
  <c r="K42" i="5"/>
  <c r="E41" i="5"/>
  <c r="E246" i="5"/>
  <c r="G247" i="5"/>
  <c r="G42" i="5"/>
  <c r="C246" i="5"/>
  <c r="C41" i="5"/>
  <c r="D41" i="5"/>
  <c r="D246" i="5"/>
  <c r="J42" i="5"/>
  <c r="J247" i="5"/>
  <c r="L247" i="5" l="1"/>
  <c r="L42" i="5"/>
  <c r="F43" i="5"/>
  <c r="F248" i="5"/>
  <c r="C247" i="5"/>
  <c r="C42" i="5"/>
  <c r="B247" i="5"/>
  <c r="B42" i="5"/>
  <c r="J248" i="5"/>
  <c r="J43" i="5"/>
  <c r="E42" i="5"/>
  <c r="E247" i="5"/>
  <c r="G43" i="5"/>
  <c r="G248" i="5"/>
  <c r="K248" i="5"/>
  <c r="K43" i="5"/>
  <c r="H248" i="5"/>
  <c r="H43" i="5"/>
  <c r="I247" i="5"/>
  <c r="I42" i="5"/>
  <c r="D247" i="5"/>
  <c r="D42" i="5"/>
  <c r="L248" i="5" l="1"/>
  <c r="L43" i="5"/>
  <c r="J249" i="5"/>
  <c r="J44" i="5"/>
  <c r="K44" i="5"/>
  <c r="K249" i="5"/>
  <c r="B248" i="5"/>
  <c r="B43" i="5"/>
  <c r="C43" i="5"/>
  <c r="C248" i="5"/>
  <c r="G249" i="5"/>
  <c r="G44" i="5"/>
  <c r="H249" i="5"/>
  <c r="H44" i="5"/>
  <c r="D248" i="5"/>
  <c r="D43" i="5"/>
  <c r="I248" i="5"/>
  <c r="I43" i="5"/>
  <c r="E43" i="5"/>
  <c r="E248" i="5"/>
  <c r="F249" i="5"/>
  <c r="F44" i="5"/>
  <c r="L44" i="5" l="1"/>
  <c r="L249" i="5"/>
  <c r="B249" i="5"/>
  <c r="B44" i="5"/>
  <c r="C249" i="5"/>
  <c r="C44" i="5"/>
  <c r="H250" i="5"/>
  <c r="H45" i="5"/>
  <c r="K45" i="5"/>
  <c r="K250" i="5"/>
  <c r="F250" i="5"/>
  <c r="F45" i="5"/>
  <c r="G45" i="5"/>
  <c r="G250" i="5"/>
  <c r="J250" i="5"/>
  <c r="J45" i="5"/>
  <c r="I44" i="5"/>
  <c r="I249" i="5"/>
  <c r="D44" i="5"/>
  <c r="D249" i="5"/>
  <c r="E249" i="5"/>
  <c r="E44" i="5"/>
  <c r="L45" i="5" l="1"/>
  <c r="L250" i="5"/>
  <c r="I250" i="5"/>
  <c r="I45" i="5"/>
  <c r="H251" i="5"/>
  <c r="H46" i="5"/>
  <c r="K46" i="5"/>
  <c r="K251" i="5"/>
  <c r="C250" i="5"/>
  <c r="C45" i="5"/>
  <c r="G251" i="5"/>
  <c r="G46" i="5"/>
  <c r="E45" i="5"/>
  <c r="E250" i="5"/>
  <c r="F251" i="5"/>
  <c r="F46" i="5"/>
  <c r="B45" i="5"/>
  <c r="B250" i="5"/>
  <c r="J46" i="5"/>
  <c r="J251" i="5"/>
  <c r="D250" i="5"/>
  <c r="D45" i="5"/>
  <c r="L251" i="5" l="1"/>
  <c r="L46" i="5"/>
  <c r="C251" i="5"/>
  <c r="C46" i="5"/>
  <c r="F252" i="5"/>
  <c r="F47" i="5"/>
  <c r="K47" i="5"/>
  <c r="K252" i="5"/>
  <c r="H47" i="5"/>
  <c r="H252" i="5"/>
  <c r="E251" i="5"/>
  <c r="E46" i="5"/>
  <c r="G252" i="5"/>
  <c r="G47" i="5"/>
  <c r="I251" i="5"/>
  <c r="I46" i="5"/>
  <c r="B251" i="5"/>
  <c r="B46" i="5"/>
  <c r="D251" i="5"/>
  <c r="D46" i="5"/>
  <c r="J252" i="5"/>
  <c r="J47" i="5"/>
  <c r="L252" i="5" l="1"/>
  <c r="L47" i="5"/>
  <c r="B252" i="5"/>
  <c r="B47" i="5"/>
  <c r="K48" i="5"/>
  <c r="K253" i="5"/>
  <c r="G48" i="5"/>
  <c r="G253" i="5"/>
  <c r="F253" i="5"/>
  <c r="F48" i="5"/>
  <c r="H253" i="5"/>
  <c r="H48" i="5"/>
  <c r="J48" i="5"/>
  <c r="J253" i="5"/>
  <c r="D47" i="5"/>
  <c r="D252" i="5"/>
  <c r="E252" i="5"/>
  <c r="E47" i="5"/>
  <c r="C252" i="5"/>
  <c r="C47" i="5"/>
  <c r="I252" i="5"/>
  <c r="I47" i="5"/>
  <c r="L48" i="5" l="1"/>
  <c r="L253" i="5"/>
  <c r="E48" i="5"/>
  <c r="E253" i="5"/>
  <c r="D253" i="5"/>
  <c r="D48" i="5"/>
  <c r="G254" i="5"/>
  <c r="G49" i="5"/>
  <c r="I253" i="5"/>
  <c r="I48" i="5"/>
  <c r="J254" i="5"/>
  <c r="J49" i="5"/>
  <c r="K254" i="5"/>
  <c r="K49" i="5"/>
  <c r="F49" i="5"/>
  <c r="F254" i="5"/>
  <c r="C48" i="5"/>
  <c r="C253" i="5"/>
  <c r="H254" i="5"/>
  <c r="H49" i="5"/>
  <c r="B48" i="5"/>
  <c r="B253" i="5"/>
  <c r="L254" i="5" l="1"/>
  <c r="L49" i="5"/>
  <c r="I254" i="5"/>
  <c r="I49" i="5"/>
  <c r="D254" i="5"/>
  <c r="D49" i="5"/>
  <c r="B49" i="5"/>
  <c r="B254" i="5"/>
  <c r="C49" i="5"/>
  <c r="C254" i="5"/>
  <c r="F50" i="5"/>
  <c r="F255" i="5"/>
  <c r="H255" i="5"/>
  <c r="H50" i="5"/>
  <c r="J50" i="5"/>
  <c r="J255" i="5"/>
  <c r="G50" i="5"/>
  <c r="G255" i="5"/>
  <c r="K255" i="5"/>
  <c r="K50" i="5"/>
  <c r="E254" i="5"/>
  <c r="E49" i="5"/>
  <c r="L255" i="5" l="1"/>
  <c r="L50" i="5"/>
  <c r="J256" i="5"/>
  <c r="J51" i="5"/>
  <c r="B255" i="5"/>
  <c r="B50" i="5"/>
  <c r="G256" i="5"/>
  <c r="G51" i="5"/>
  <c r="C50" i="5"/>
  <c r="C255" i="5"/>
  <c r="E50" i="5"/>
  <c r="E255" i="5"/>
  <c r="H256" i="5"/>
  <c r="H51" i="5"/>
  <c r="D50" i="5"/>
  <c r="D255" i="5"/>
  <c r="K256" i="5"/>
  <c r="K51" i="5"/>
  <c r="I50" i="5"/>
  <c r="I255" i="5"/>
  <c r="F51" i="5"/>
  <c r="F256" i="5"/>
  <c r="L256" i="5" l="1"/>
  <c r="L51" i="5"/>
  <c r="C256" i="5"/>
  <c r="C51" i="5"/>
  <c r="K257" i="5"/>
  <c r="K52" i="5"/>
  <c r="H257" i="5"/>
  <c r="H52" i="5"/>
  <c r="B256" i="5"/>
  <c r="B51" i="5"/>
  <c r="G257" i="5"/>
  <c r="G52" i="5"/>
  <c r="D256" i="5"/>
  <c r="D51" i="5"/>
  <c r="F257" i="5"/>
  <c r="F52" i="5"/>
  <c r="J257" i="5"/>
  <c r="J52" i="5"/>
  <c r="I256" i="5"/>
  <c r="I51" i="5"/>
  <c r="E256" i="5"/>
  <c r="E51" i="5"/>
  <c r="L52" i="5" l="1"/>
  <c r="L257" i="5"/>
  <c r="J258" i="5"/>
  <c r="J53" i="5"/>
  <c r="H53" i="5"/>
  <c r="H258" i="5"/>
  <c r="B257" i="5"/>
  <c r="B52" i="5"/>
  <c r="E257" i="5"/>
  <c r="E52" i="5"/>
  <c r="D257" i="5"/>
  <c r="D52" i="5"/>
  <c r="K53" i="5"/>
  <c r="K258" i="5"/>
  <c r="F258" i="5"/>
  <c r="F53" i="5"/>
  <c r="C257" i="5"/>
  <c r="C52" i="5"/>
  <c r="I52" i="5"/>
  <c r="I257" i="5"/>
  <c r="G53" i="5"/>
  <c r="G258" i="5"/>
  <c r="L53" i="5" l="1"/>
  <c r="L258" i="5"/>
  <c r="B53" i="5"/>
  <c r="B258" i="5"/>
  <c r="E258" i="5"/>
  <c r="E53" i="5"/>
  <c r="C258" i="5"/>
  <c r="C53" i="5"/>
  <c r="G259" i="5"/>
  <c r="G54" i="5"/>
  <c r="K259" i="5"/>
  <c r="K54" i="5"/>
  <c r="H259" i="5"/>
  <c r="H54" i="5"/>
  <c r="F259" i="5"/>
  <c r="F54" i="5"/>
  <c r="D53" i="5"/>
  <c r="D258" i="5"/>
  <c r="J259" i="5"/>
  <c r="J54" i="5"/>
  <c r="I258" i="5"/>
  <c r="I53" i="5"/>
  <c r="L259" i="5" l="1"/>
  <c r="L54" i="5"/>
  <c r="C54" i="5"/>
  <c r="C259" i="5"/>
  <c r="G260" i="5"/>
  <c r="G55" i="5"/>
  <c r="I259" i="5"/>
  <c r="I54" i="5"/>
  <c r="H260" i="5"/>
  <c r="H55" i="5"/>
  <c r="E54" i="5"/>
  <c r="E259" i="5"/>
  <c r="F55" i="5"/>
  <c r="F260" i="5"/>
  <c r="J55" i="5"/>
  <c r="J260" i="5"/>
  <c r="K55" i="5"/>
  <c r="K260" i="5"/>
  <c r="D54" i="5"/>
  <c r="D259" i="5"/>
  <c r="B259" i="5"/>
  <c r="B54" i="5"/>
  <c r="L260" i="5" l="1"/>
  <c r="L55" i="5"/>
  <c r="I260" i="5"/>
  <c r="I55" i="5"/>
  <c r="H261" i="5"/>
  <c r="H56" i="5"/>
  <c r="G56" i="5"/>
  <c r="G261" i="5"/>
  <c r="J56" i="5"/>
  <c r="J261" i="5"/>
  <c r="K56" i="5"/>
  <c r="K261" i="5"/>
  <c r="F261" i="5"/>
  <c r="F56" i="5"/>
  <c r="B260" i="5"/>
  <c r="B55" i="5"/>
  <c r="D260" i="5"/>
  <c r="D55" i="5"/>
  <c r="E55" i="5"/>
  <c r="E260" i="5"/>
  <c r="C260" i="5"/>
  <c r="C55" i="5"/>
  <c r="L56" i="5" l="1"/>
  <c r="L261" i="5"/>
  <c r="J262" i="5"/>
  <c r="J57" i="5"/>
  <c r="G262" i="5"/>
  <c r="G57" i="5"/>
  <c r="C261" i="5"/>
  <c r="C56" i="5"/>
  <c r="F57" i="5"/>
  <c r="F262" i="5"/>
  <c r="H262" i="5"/>
  <c r="H57" i="5"/>
  <c r="B56" i="5"/>
  <c r="B261" i="5"/>
  <c r="I261" i="5"/>
  <c r="I56" i="5"/>
  <c r="D261" i="5"/>
  <c r="D56" i="5"/>
  <c r="E261" i="5"/>
  <c r="E56" i="5"/>
  <c r="K262" i="5"/>
  <c r="K57" i="5"/>
  <c r="L262" i="5" l="1"/>
  <c r="L57" i="5"/>
  <c r="F263" i="5"/>
  <c r="F58" i="5"/>
  <c r="C262" i="5"/>
  <c r="C57" i="5"/>
  <c r="D262" i="5"/>
  <c r="D57" i="5"/>
  <c r="G263" i="5"/>
  <c r="G58" i="5"/>
  <c r="I57" i="5"/>
  <c r="I262" i="5"/>
  <c r="K58" i="5"/>
  <c r="K263" i="5"/>
  <c r="B57" i="5"/>
  <c r="B262" i="5"/>
  <c r="E262" i="5"/>
  <c r="E57" i="5"/>
  <c r="H58" i="5"/>
  <c r="H263" i="5"/>
  <c r="J58" i="5"/>
  <c r="J263" i="5"/>
  <c r="L263" i="5" l="1"/>
  <c r="L58" i="5"/>
  <c r="D263" i="5"/>
  <c r="D58" i="5"/>
  <c r="G59" i="5"/>
  <c r="G264" i="5"/>
  <c r="C58" i="5"/>
  <c r="C263" i="5"/>
  <c r="E58" i="5"/>
  <c r="E263" i="5"/>
  <c r="B58" i="5"/>
  <c r="B263" i="5"/>
  <c r="K59" i="5"/>
  <c r="K264" i="5"/>
  <c r="F59" i="5"/>
  <c r="F264" i="5"/>
  <c r="J264" i="5"/>
  <c r="J59" i="5"/>
  <c r="H59" i="5"/>
  <c r="H264" i="5"/>
  <c r="I58" i="5"/>
  <c r="I263" i="5"/>
  <c r="L264" i="5" l="1"/>
  <c r="L59" i="5"/>
  <c r="E264" i="5"/>
  <c r="E59" i="5"/>
  <c r="C264" i="5"/>
  <c r="C59" i="5"/>
  <c r="J265" i="5"/>
  <c r="J60" i="5"/>
  <c r="F60" i="5"/>
  <c r="F265" i="5"/>
  <c r="I264" i="5"/>
  <c r="I59" i="5"/>
  <c r="K265" i="5"/>
  <c r="K60" i="5"/>
  <c r="G265" i="5"/>
  <c r="G60" i="5"/>
  <c r="D264" i="5"/>
  <c r="D59" i="5"/>
  <c r="H265" i="5"/>
  <c r="H60" i="5"/>
  <c r="B264" i="5"/>
  <c r="B59" i="5"/>
  <c r="L60" i="5" l="1"/>
  <c r="L265" i="5"/>
  <c r="F266" i="5"/>
  <c r="F61" i="5"/>
  <c r="J266" i="5"/>
  <c r="J61" i="5"/>
  <c r="B60" i="5"/>
  <c r="B265" i="5"/>
  <c r="K61" i="5"/>
  <c r="K266" i="5"/>
  <c r="C265" i="5"/>
  <c r="C60" i="5"/>
  <c r="D60" i="5"/>
  <c r="D265" i="5"/>
  <c r="H266" i="5"/>
  <c r="H61" i="5"/>
  <c r="I60" i="5"/>
  <c r="I265" i="5"/>
  <c r="E265" i="5"/>
  <c r="E60" i="5"/>
  <c r="G266" i="5"/>
  <c r="G61" i="5"/>
  <c r="L61" i="5" l="1"/>
  <c r="L266" i="5"/>
  <c r="K267" i="5"/>
  <c r="K62" i="5"/>
  <c r="B266" i="5"/>
  <c r="B61" i="5"/>
  <c r="J267" i="5"/>
  <c r="J62" i="5"/>
  <c r="I266" i="5"/>
  <c r="I61" i="5"/>
  <c r="G267" i="5"/>
  <c r="G62" i="5"/>
  <c r="D61" i="5"/>
  <c r="D266" i="5"/>
  <c r="E266" i="5"/>
  <c r="E61" i="5"/>
  <c r="C61" i="5"/>
  <c r="C266" i="5"/>
  <c r="F267" i="5"/>
  <c r="F62" i="5"/>
  <c r="H267" i="5"/>
  <c r="H62" i="5"/>
  <c r="L267" i="5" l="1"/>
  <c r="L62" i="5"/>
  <c r="I62" i="5"/>
  <c r="I267" i="5"/>
  <c r="J268" i="5"/>
  <c r="J63" i="5"/>
  <c r="C62" i="5"/>
  <c r="C267" i="5"/>
  <c r="B267" i="5"/>
  <c r="B62" i="5"/>
  <c r="H63" i="5"/>
  <c r="H268" i="5"/>
  <c r="D62" i="5"/>
  <c r="D267" i="5"/>
  <c r="F63" i="5"/>
  <c r="F268" i="5"/>
  <c r="G63" i="5"/>
  <c r="G268" i="5"/>
  <c r="K268" i="5"/>
  <c r="K63" i="5"/>
  <c r="E267" i="5"/>
  <c r="E62" i="5"/>
  <c r="L268" i="5" l="1"/>
  <c r="L63" i="5"/>
  <c r="B268" i="5"/>
  <c r="B63" i="5"/>
  <c r="F64" i="5"/>
  <c r="F269" i="5"/>
  <c r="C268" i="5"/>
  <c r="C63" i="5"/>
  <c r="J64" i="5"/>
  <c r="J269" i="5"/>
  <c r="D268" i="5"/>
  <c r="D63" i="5"/>
  <c r="G64" i="5"/>
  <c r="G269" i="5"/>
  <c r="K269" i="5"/>
  <c r="K64" i="5"/>
  <c r="E268" i="5"/>
  <c r="E63" i="5"/>
  <c r="H269" i="5"/>
  <c r="H64" i="5"/>
  <c r="I268" i="5"/>
  <c r="I63" i="5"/>
  <c r="L64" i="5" l="1"/>
  <c r="L269" i="5"/>
  <c r="C269" i="5"/>
  <c r="C64" i="5"/>
  <c r="J65" i="5"/>
  <c r="J270" i="5"/>
  <c r="K270" i="5"/>
  <c r="K65" i="5"/>
  <c r="G270" i="5"/>
  <c r="G65" i="5"/>
  <c r="F65" i="5"/>
  <c r="F270" i="5"/>
  <c r="H270" i="5"/>
  <c r="H65" i="5"/>
  <c r="D269" i="5"/>
  <c r="D64" i="5"/>
  <c r="B269" i="5"/>
  <c r="B64" i="5"/>
  <c r="E64" i="5"/>
  <c r="E269" i="5"/>
  <c r="I269" i="5"/>
  <c r="I64" i="5"/>
  <c r="L270" i="5" l="1"/>
  <c r="L65" i="5"/>
  <c r="G271" i="5"/>
  <c r="G66" i="5"/>
  <c r="K66" i="5"/>
  <c r="K271" i="5"/>
  <c r="B270" i="5"/>
  <c r="B65" i="5"/>
  <c r="I270" i="5"/>
  <c r="I65" i="5"/>
  <c r="J66" i="5"/>
  <c r="J271" i="5"/>
  <c r="C65" i="5"/>
  <c r="C270" i="5"/>
  <c r="D65" i="5"/>
  <c r="D270" i="5"/>
  <c r="H66" i="5"/>
  <c r="H271" i="5"/>
  <c r="E270" i="5"/>
  <c r="E65" i="5"/>
  <c r="F66" i="5"/>
  <c r="F271" i="5"/>
  <c r="L271" i="5" l="1"/>
  <c r="L66" i="5"/>
  <c r="I271" i="5"/>
  <c r="I66" i="5"/>
  <c r="B66" i="5"/>
  <c r="B271" i="5"/>
  <c r="D271" i="5"/>
  <c r="D66" i="5"/>
  <c r="F272" i="5"/>
  <c r="F67" i="5"/>
  <c r="C66" i="5"/>
  <c r="C271" i="5"/>
  <c r="K67" i="5"/>
  <c r="K272" i="5"/>
  <c r="H67" i="5"/>
  <c r="H272" i="5"/>
  <c r="E66" i="5"/>
  <c r="E271" i="5"/>
  <c r="G272" i="5"/>
  <c r="G67" i="5"/>
  <c r="J272" i="5"/>
  <c r="J67" i="5"/>
  <c r="L272" i="5" l="1"/>
  <c r="L67" i="5"/>
  <c r="F68" i="5"/>
  <c r="F273" i="5"/>
  <c r="D272" i="5"/>
  <c r="D67" i="5"/>
  <c r="H273" i="5"/>
  <c r="H68" i="5"/>
  <c r="K68" i="5"/>
  <c r="K273" i="5"/>
  <c r="B272" i="5"/>
  <c r="B67" i="5"/>
  <c r="G273" i="5"/>
  <c r="G68" i="5"/>
  <c r="I272" i="5"/>
  <c r="I67" i="5"/>
  <c r="E272" i="5"/>
  <c r="E67" i="5"/>
  <c r="J273" i="5"/>
  <c r="J68" i="5"/>
  <c r="C272" i="5"/>
  <c r="C67" i="5"/>
  <c r="L68" i="5" l="1"/>
  <c r="L273" i="5"/>
  <c r="I68" i="5"/>
  <c r="I273" i="5"/>
  <c r="E273" i="5"/>
  <c r="E68" i="5"/>
  <c r="C273" i="5"/>
  <c r="C68" i="5"/>
  <c r="G69" i="5"/>
  <c r="G274" i="5"/>
  <c r="D68" i="5"/>
  <c r="D273" i="5"/>
  <c r="K69" i="5"/>
  <c r="K274" i="5"/>
  <c r="J274" i="5"/>
  <c r="J69" i="5"/>
  <c r="B68" i="5"/>
  <c r="B273" i="5"/>
  <c r="H274" i="5"/>
  <c r="H69" i="5"/>
  <c r="F274" i="5"/>
  <c r="F69" i="5"/>
  <c r="L69" i="5" l="1"/>
  <c r="L274" i="5"/>
  <c r="G275" i="5"/>
  <c r="G70" i="5"/>
  <c r="J70" i="5"/>
  <c r="J275" i="5"/>
  <c r="C69" i="5"/>
  <c r="C274" i="5"/>
  <c r="B69" i="5"/>
  <c r="B274" i="5"/>
  <c r="E274" i="5"/>
  <c r="E69" i="5"/>
  <c r="K70" i="5"/>
  <c r="K275" i="5"/>
  <c r="F275" i="5"/>
  <c r="F70" i="5"/>
  <c r="H275" i="5"/>
  <c r="H70" i="5"/>
  <c r="D69" i="5"/>
  <c r="D274" i="5"/>
  <c r="I69" i="5"/>
  <c r="I274" i="5"/>
  <c r="L275" i="5" l="1"/>
  <c r="L70" i="5"/>
  <c r="C70" i="5"/>
  <c r="C275" i="5"/>
  <c r="I275" i="5"/>
  <c r="I70" i="5"/>
  <c r="K71" i="5"/>
  <c r="K276" i="5"/>
  <c r="J276" i="5"/>
  <c r="J71" i="5"/>
  <c r="B70" i="5"/>
  <c r="B275" i="5"/>
  <c r="E275" i="5"/>
  <c r="E70" i="5"/>
  <c r="G71" i="5"/>
  <c r="G276" i="5"/>
  <c r="H71" i="5"/>
  <c r="H276" i="5"/>
  <c r="F276" i="5"/>
  <c r="F71" i="5"/>
  <c r="D275" i="5"/>
  <c r="D70" i="5"/>
  <c r="L276" i="5" l="1"/>
  <c r="L71" i="5"/>
  <c r="J277" i="5"/>
  <c r="J72" i="5"/>
  <c r="G72" i="5"/>
  <c r="G277" i="5"/>
  <c r="K277" i="5"/>
  <c r="K72" i="5"/>
  <c r="E276" i="5"/>
  <c r="E71" i="5"/>
  <c r="I276" i="5"/>
  <c r="I71" i="5"/>
  <c r="F72" i="5"/>
  <c r="F277" i="5"/>
  <c r="H72" i="5"/>
  <c r="H277" i="5"/>
  <c r="D276" i="5"/>
  <c r="D71" i="5"/>
  <c r="B276" i="5"/>
  <c r="B71" i="5"/>
  <c r="C276" i="5"/>
  <c r="C71" i="5"/>
  <c r="L72" i="5" l="1"/>
  <c r="L277" i="5"/>
  <c r="E72" i="5"/>
  <c r="E277" i="5"/>
  <c r="D72" i="5"/>
  <c r="D277" i="5"/>
  <c r="K278" i="5"/>
  <c r="K73" i="5"/>
  <c r="H278" i="5"/>
  <c r="H73" i="5"/>
  <c r="F73" i="5"/>
  <c r="F278" i="5"/>
  <c r="G278" i="5"/>
  <c r="G73" i="5"/>
  <c r="B277" i="5"/>
  <c r="B72" i="5"/>
  <c r="I72" i="5"/>
  <c r="I277" i="5"/>
  <c r="J73" i="5"/>
  <c r="J278" i="5"/>
  <c r="C277" i="5"/>
  <c r="C72" i="5"/>
  <c r="L278" i="5" l="1"/>
  <c r="L73" i="5"/>
  <c r="H279" i="5"/>
  <c r="H74" i="5"/>
  <c r="I278" i="5"/>
  <c r="I73" i="5"/>
  <c r="B278" i="5"/>
  <c r="B73" i="5"/>
  <c r="K279" i="5"/>
  <c r="K74" i="5"/>
  <c r="G74" i="5"/>
  <c r="G279" i="5"/>
  <c r="D278" i="5"/>
  <c r="D73" i="5"/>
  <c r="C278" i="5"/>
  <c r="C73" i="5"/>
  <c r="J74" i="5"/>
  <c r="J279" i="5"/>
  <c r="F279" i="5"/>
  <c r="F74" i="5"/>
  <c r="E278" i="5"/>
  <c r="E73" i="5"/>
  <c r="L279" i="5" l="1"/>
  <c r="L74" i="5"/>
  <c r="G280" i="5"/>
  <c r="G75" i="5"/>
  <c r="K280" i="5"/>
  <c r="K75" i="5"/>
  <c r="J280" i="5"/>
  <c r="J75" i="5"/>
  <c r="B74" i="5"/>
  <c r="B279" i="5"/>
  <c r="E279" i="5"/>
  <c r="E74" i="5"/>
  <c r="D279" i="5"/>
  <c r="D74" i="5"/>
  <c r="I279" i="5"/>
  <c r="I74" i="5"/>
  <c r="C74" i="5"/>
  <c r="C279" i="5"/>
  <c r="F75" i="5"/>
  <c r="F280" i="5"/>
  <c r="H280" i="5"/>
  <c r="H75" i="5"/>
  <c r="L280" i="5" l="1"/>
  <c r="L75" i="5"/>
  <c r="J281" i="5"/>
  <c r="J76" i="5"/>
  <c r="C75" i="5"/>
  <c r="C280" i="5"/>
  <c r="H76" i="5"/>
  <c r="H281" i="5"/>
  <c r="D280" i="5"/>
  <c r="D75" i="5"/>
  <c r="K76" i="5"/>
  <c r="K281" i="5"/>
  <c r="I280" i="5"/>
  <c r="I75" i="5"/>
  <c r="E75" i="5"/>
  <c r="E280" i="5"/>
  <c r="G281" i="5"/>
  <c r="G76" i="5"/>
  <c r="B280" i="5"/>
  <c r="B75" i="5"/>
  <c r="F281" i="5"/>
  <c r="F76" i="5"/>
  <c r="L76" i="5" l="1"/>
  <c r="L281" i="5"/>
  <c r="E281" i="5"/>
  <c r="E76" i="5"/>
  <c r="H77" i="5"/>
  <c r="H282" i="5"/>
  <c r="D281" i="5"/>
  <c r="D76" i="5"/>
  <c r="I76" i="5"/>
  <c r="I281" i="5"/>
  <c r="F282" i="5"/>
  <c r="F77" i="5"/>
  <c r="C281" i="5"/>
  <c r="C76" i="5"/>
  <c r="G77" i="5"/>
  <c r="G282" i="5"/>
  <c r="B281" i="5"/>
  <c r="B76" i="5"/>
  <c r="J77" i="5"/>
  <c r="J282" i="5"/>
  <c r="K77" i="5"/>
  <c r="K282" i="5"/>
  <c r="L77" i="5" l="1"/>
  <c r="L282" i="5"/>
  <c r="D282" i="5"/>
  <c r="D77" i="5"/>
  <c r="I282" i="5"/>
  <c r="I77" i="5"/>
  <c r="G283" i="5"/>
  <c r="G78" i="5"/>
  <c r="C282" i="5"/>
  <c r="C77" i="5"/>
  <c r="B77" i="5"/>
  <c r="B282" i="5"/>
  <c r="K78" i="5"/>
  <c r="K283" i="5"/>
  <c r="H283" i="5"/>
  <c r="H78" i="5"/>
  <c r="F78" i="5"/>
  <c r="F283" i="5"/>
  <c r="E77" i="5"/>
  <c r="E282" i="5"/>
  <c r="J283" i="5"/>
  <c r="J78" i="5"/>
  <c r="L283" i="5" l="1"/>
  <c r="L78" i="5"/>
  <c r="C78" i="5"/>
  <c r="C283" i="5"/>
  <c r="H284" i="5"/>
  <c r="H79" i="5"/>
  <c r="G284" i="5"/>
  <c r="G79" i="5"/>
  <c r="I78" i="5"/>
  <c r="I283" i="5"/>
  <c r="K79" i="5"/>
  <c r="K284" i="5"/>
  <c r="F79" i="5"/>
  <c r="F284" i="5"/>
  <c r="J79" i="5"/>
  <c r="J284" i="5"/>
  <c r="D78" i="5"/>
  <c r="D283" i="5"/>
  <c r="E283" i="5"/>
  <c r="E78" i="5"/>
  <c r="B283" i="5"/>
  <c r="B78" i="5"/>
  <c r="L284" i="5" l="1"/>
  <c r="L79" i="5"/>
  <c r="D79" i="5"/>
  <c r="D284" i="5"/>
  <c r="G80" i="5"/>
  <c r="G285" i="5"/>
  <c r="J285" i="5"/>
  <c r="J80" i="5"/>
  <c r="H285" i="5"/>
  <c r="H80" i="5"/>
  <c r="F80" i="5"/>
  <c r="F285" i="5"/>
  <c r="B284" i="5"/>
  <c r="B79" i="5"/>
  <c r="I79" i="5"/>
  <c r="I284" i="5"/>
  <c r="E284" i="5"/>
  <c r="E79" i="5"/>
  <c r="K80" i="5"/>
  <c r="K285" i="5"/>
  <c r="C284" i="5"/>
  <c r="C79" i="5"/>
  <c r="L80" i="5" l="1"/>
  <c r="L285" i="5"/>
  <c r="H81" i="5"/>
  <c r="H286" i="5"/>
  <c r="J286" i="5"/>
  <c r="J81" i="5"/>
  <c r="I285" i="5"/>
  <c r="I80" i="5"/>
  <c r="C285" i="5"/>
  <c r="C80" i="5"/>
  <c r="E285" i="5"/>
  <c r="E80" i="5"/>
  <c r="B80" i="5"/>
  <c r="B285" i="5"/>
  <c r="G286" i="5"/>
  <c r="G81" i="5"/>
  <c r="K286" i="5"/>
  <c r="K81" i="5"/>
  <c r="F81" i="5"/>
  <c r="F286" i="5"/>
  <c r="D80" i="5"/>
  <c r="D285" i="5"/>
  <c r="L286" i="5" l="1"/>
  <c r="L81" i="5"/>
  <c r="C286" i="5"/>
  <c r="C81" i="5"/>
  <c r="I81" i="5"/>
  <c r="I286" i="5"/>
  <c r="G287" i="5"/>
  <c r="G82" i="5"/>
  <c r="J82" i="5"/>
  <c r="J287" i="5"/>
  <c r="D286" i="5"/>
  <c r="D81" i="5"/>
  <c r="B81" i="5"/>
  <c r="B286" i="5"/>
  <c r="K287" i="5"/>
  <c r="K82" i="5"/>
  <c r="E81" i="5"/>
  <c r="E286" i="5"/>
  <c r="F82" i="5"/>
  <c r="F287" i="5"/>
  <c r="H287" i="5"/>
  <c r="H82" i="5"/>
  <c r="L287" i="5" l="1"/>
  <c r="L82" i="5"/>
  <c r="G83" i="5"/>
  <c r="G288" i="5"/>
  <c r="E82" i="5"/>
  <c r="E287" i="5"/>
  <c r="B287" i="5"/>
  <c r="B82" i="5"/>
  <c r="I82" i="5"/>
  <c r="I287" i="5"/>
  <c r="K288" i="5"/>
  <c r="K83" i="5"/>
  <c r="D287" i="5"/>
  <c r="D82" i="5"/>
  <c r="C82" i="5"/>
  <c r="C287" i="5"/>
  <c r="J83" i="5"/>
  <c r="J288" i="5"/>
  <c r="H288" i="5"/>
  <c r="H83" i="5"/>
  <c r="F288" i="5"/>
  <c r="F83" i="5"/>
  <c r="L288" i="5" l="1"/>
  <c r="L83" i="5"/>
  <c r="J289" i="5"/>
  <c r="J84" i="5"/>
  <c r="B288" i="5"/>
  <c r="B83" i="5"/>
  <c r="C83" i="5"/>
  <c r="C288" i="5"/>
  <c r="F84" i="5"/>
  <c r="F289" i="5"/>
  <c r="E288" i="5"/>
  <c r="E83" i="5"/>
  <c r="I288" i="5"/>
  <c r="I83" i="5"/>
  <c r="H289" i="5"/>
  <c r="H84" i="5"/>
  <c r="K289" i="5"/>
  <c r="K84" i="5"/>
  <c r="D288" i="5"/>
  <c r="D83" i="5"/>
  <c r="G84" i="5"/>
  <c r="G289" i="5"/>
  <c r="L84" i="5" l="1"/>
  <c r="L289" i="5"/>
  <c r="C289" i="5"/>
  <c r="C84" i="5"/>
  <c r="F290" i="5"/>
  <c r="F85" i="5"/>
  <c r="I289" i="5"/>
  <c r="I84" i="5"/>
  <c r="B289" i="5"/>
  <c r="B84" i="5"/>
  <c r="G290" i="5"/>
  <c r="G85" i="5"/>
  <c r="D289" i="5"/>
  <c r="D84" i="5"/>
  <c r="E289" i="5"/>
  <c r="E84" i="5"/>
  <c r="J290" i="5"/>
  <c r="J85" i="5"/>
  <c r="K85" i="5"/>
  <c r="K290" i="5"/>
  <c r="H85" i="5"/>
  <c r="H290" i="5"/>
  <c r="L85" i="5" l="1"/>
  <c r="L290" i="5"/>
  <c r="B290" i="5"/>
  <c r="B85" i="5"/>
  <c r="I290" i="5"/>
  <c r="I85" i="5"/>
  <c r="J291" i="5"/>
  <c r="J86" i="5"/>
  <c r="D290" i="5"/>
  <c r="D85" i="5"/>
  <c r="F86" i="5"/>
  <c r="F291" i="5"/>
  <c r="H291" i="5"/>
  <c r="H86" i="5"/>
  <c r="G291" i="5"/>
  <c r="G86" i="5"/>
  <c r="C85" i="5"/>
  <c r="C290" i="5"/>
  <c r="E290" i="5"/>
  <c r="E85" i="5"/>
  <c r="K291" i="5"/>
  <c r="K86" i="5"/>
  <c r="L291" i="5" l="1"/>
  <c r="L86" i="5"/>
  <c r="D86" i="5"/>
  <c r="D291" i="5"/>
  <c r="F292" i="5"/>
  <c r="F87" i="5"/>
  <c r="G292" i="5"/>
  <c r="G87" i="5"/>
  <c r="J292" i="5"/>
  <c r="J87" i="5"/>
  <c r="K292" i="5"/>
  <c r="K87" i="5"/>
  <c r="H292" i="5"/>
  <c r="H87" i="5"/>
  <c r="I291" i="5"/>
  <c r="I86" i="5"/>
  <c r="C86" i="5"/>
  <c r="C291" i="5"/>
  <c r="E291" i="5"/>
  <c r="E86" i="5"/>
  <c r="B291" i="5"/>
  <c r="B86" i="5"/>
  <c r="L292" i="5" l="1"/>
  <c r="L87" i="5"/>
  <c r="J88" i="5"/>
  <c r="J293" i="5"/>
  <c r="G88" i="5"/>
  <c r="G293" i="5"/>
  <c r="B292" i="5"/>
  <c r="B87" i="5"/>
  <c r="H293" i="5"/>
  <c r="H88" i="5"/>
  <c r="F88" i="5"/>
  <c r="F293" i="5"/>
  <c r="C292" i="5"/>
  <c r="C87" i="5"/>
  <c r="E292" i="5"/>
  <c r="E87" i="5"/>
  <c r="K88" i="5"/>
  <c r="K293" i="5"/>
  <c r="I87" i="5"/>
  <c r="I292" i="5"/>
  <c r="D87" i="5"/>
  <c r="D292" i="5"/>
  <c r="L88" i="5" l="1"/>
  <c r="L293" i="5"/>
  <c r="B88" i="5"/>
  <c r="B293" i="5"/>
  <c r="H89" i="5"/>
  <c r="H294" i="5"/>
  <c r="K294" i="5"/>
  <c r="K89" i="5"/>
  <c r="C293" i="5"/>
  <c r="C88" i="5"/>
  <c r="G294" i="5"/>
  <c r="G89" i="5"/>
  <c r="E293" i="5"/>
  <c r="E88" i="5"/>
  <c r="D293" i="5"/>
  <c r="D88" i="5"/>
  <c r="I293" i="5"/>
  <c r="I88" i="5"/>
  <c r="F89" i="5"/>
  <c r="F294" i="5"/>
  <c r="J294" i="5"/>
  <c r="J89" i="5"/>
  <c r="L294" i="5" l="1"/>
  <c r="L89" i="5"/>
  <c r="K90" i="5"/>
  <c r="K295" i="5"/>
  <c r="I89" i="5"/>
  <c r="I294" i="5"/>
  <c r="E89" i="5"/>
  <c r="E294" i="5"/>
  <c r="C294" i="5"/>
  <c r="C89" i="5"/>
  <c r="J90" i="5"/>
  <c r="J295" i="5"/>
  <c r="H295" i="5"/>
  <c r="H90" i="5"/>
  <c r="G90" i="5"/>
  <c r="G295" i="5"/>
  <c r="D89" i="5"/>
  <c r="D294" i="5"/>
  <c r="F90" i="5"/>
  <c r="F295" i="5"/>
  <c r="B89" i="5"/>
  <c r="B294" i="5"/>
  <c r="L295" i="5" l="1"/>
  <c r="L90" i="5"/>
  <c r="G296" i="5"/>
  <c r="G91" i="5"/>
  <c r="E90" i="5"/>
  <c r="E295" i="5"/>
  <c r="D295" i="5"/>
  <c r="D90" i="5"/>
  <c r="H296" i="5"/>
  <c r="H91" i="5"/>
  <c r="I90" i="5"/>
  <c r="I295" i="5"/>
  <c r="C90" i="5"/>
  <c r="C295" i="5"/>
  <c r="B90" i="5"/>
  <c r="B295" i="5"/>
  <c r="F91" i="5"/>
  <c r="F296" i="5"/>
  <c r="J91" i="5"/>
  <c r="J296" i="5"/>
  <c r="K91" i="5"/>
  <c r="K296" i="5"/>
  <c r="L296" i="5" l="1"/>
  <c r="L91" i="5"/>
  <c r="D296" i="5"/>
  <c r="D91" i="5"/>
  <c r="H297" i="5"/>
  <c r="H92" i="5"/>
  <c r="B296" i="5"/>
  <c r="B91" i="5"/>
  <c r="K92" i="5"/>
  <c r="K297" i="5"/>
  <c r="C296" i="5"/>
  <c r="C91" i="5"/>
  <c r="E91" i="5"/>
  <c r="E296" i="5"/>
  <c r="G92" i="5"/>
  <c r="G297" i="5"/>
  <c r="F297" i="5"/>
  <c r="F92" i="5"/>
  <c r="J297" i="5"/>
  <c r="J92" i="5"/>
  <c r="I296" i="5"/>
  <c r="I91" i="5"/>
  <c r="L92" i="5" l="1"/>
  <c r="L297" i="5"/>
  <c r="K93" i="5"/>
  <c r="K298" i="5"/>
  <c r="F298" i="5"/>
  <c r="F93" i="5"/>
  <c r="G298" i="5"/>
  <c r="G93" i="5"/>
  <c r="H93" i="5"/>
  <c r="H298" i="5"/>
  <c r="I92" i="5"/>
  <c r="I297" i="5"/>
  <c r="E297" i="5"/>
  <c r="E92" i="5"/>
  <c r="J93" i="5"/>
  <c r="J298" i="5"/>
  <c r="C297" i="5"/>
  <c r="C92" i="5"/>
  <c r="D297" i="5"/>
  <c r="D92" i="5"/>
  <c r="B92" i="5"/>
  <c r="B297" i="5"/>
  <c r="L93" i="5" l="1"/>
  <c r="L298" i="5"/>
  <c r="H94" i="5"/>
  <c r="H299" i="5"/>
  <c r="G299" i="5"/>
  <c r="G94" i="5"/>
  <c r="C93" i="5"/>
  <c r="C298" i="5"/>
  <c r="E298" i="5"/>
  <c r="E93" i="5"/>
  <c r="F299" i="5"/>
  <c r="F94" i="5"/>
  <c r="D93" i="5"/>
  <c r="D298" i="5"/>
  <c r="J299" i="5"/>
  <c r="J94" i="5"/>
  <c r="B298" i="5"/>
  <c r="B93" i="5"/>
  <c r="I298" i="5"/>
  <c r="I93" i="5"/>
  <c r="K299" i="5"/>
  <c r="K94" i="5"/>
  <c r="L299" i="5" l="1"/>
  <c r="L94" i="5"/>
  <c r="E299" i="5"/>
  <c r="E94" i="5"/>
  <c r="C94" i="5"/>
  <c r="C299" i="5"/>
  <c r="G95" i="5"/>
  <c r="G300" i="5"/>
  <c r="D299" i="5"/>
  <c r="D94" i="5"/>
  <c r="B299" i="5"/>
  <c r="B94" i="5"/>
  <c r="K300" i="5"/>
  <c r="K95" i="5"/>
  <c r="F95" i="5"/>
  <c r="F300" i="5"/>
  <c r="J300" i="5"/>
  <c r="J95" i="5"/>
  <c r="I94" i="5"/>
  <c r="I299" i="5"/>
  <c r="H300" i="5"/>
  <c r="H95" i="5"/>
  <c r="L300" i="5" l="1"/>
  <c r="L95" i="5"/>
  <c r="G96" i="5"/>
  <c r="G301" i="5"/>
  <c r="D95" i="5"/>
  <c r="D300" i="5"/>
  <c r="K301" i="5"/>
  <c r="K96" i="5"/>
  <c r="F301" i="5"/>
  <c r="F96" i="5"/>
  <c r="C300" i="5"/>
  <c r="C95" i="5"/>
  <c r="H301" i="5"/>
  <c r="H96" i="5"/>
  <c r="B300" i="5"/>
  <c r="B95" i="5"/>
  <c r="E300" i="5"/>
  <c r="E95" i="5"/>
  <c r="J301" i="5"/>
  <c r="J96" i="5"/>
  <c r="I300" i="5"/>
  <c r="I95" i="5"/>
  <c r="L96" i="5" l="1"/>
  <c r="L301" i="5"/>
  <c r="K302" i="5"/>
  <c r="K97" i="5"/>
  <c r="H302" i="5"/>
  <c r="H97" i="5"/>
  <c r="D96" i="5"/>
  <c r="D301" i="5"/>
  <c r="E301" i="5"/>
  <c r="E96" i="5"/>
  <c r="B301" i="5"/>
  <c r="B96" i="5"/>
  <c r="C301" i="5"/>
  <c r="C96" i="5"/>
  <c r="F97" i="5"/>
  <c r="F302" i="5"/>
  <c r="I96" i="5"/>
  <c r="I301" i="5"/>
  <c r="J97" i="5"/>
  <c r="J302" i="5"/>
  <c r="G97" i="5"/>
  <c r="G302" i="5"/>
  <c r="L302" i="5" l="1"/>
  <c r="L97" i="5"/>
  <c r="E97" i="5"/>
  <c r="E302" i="5"/>
  <c r="D302" i="5"/>
  <c r="D97" i="5"/>
  <c r="I302" i="5"/>
  <c r="I97" i="5"/>
  <c r="C97" i="5"/>
  <c r="C302" i="5"/>
  <c r="H303" i="5"/>
  <c r="H98" i="5"/>
  <c r="F303" i="5"/>
  <c r="F98" i="5"/>
  <c r="G303" i="5"/>
  <c r="G98" i="5"/>
  <c r="B302" i="5"/>
  <c r="B97" i="5"/>
  <c r="K303" i="5"/>
  <c r="K98" i="5"/>
  <c r="J98" i="5"/>
  <c r="J303" i="5"/>
  <c r="L303" i="5" l="1"/>
  <c r="L98" i="5"/>
  <c r="C98" i="5"/>
  <c r="C303" i="5"/>
  <c r="I98" i="5"/>
  <c r="I303" i="5"/>
  <c r="B98" i="5"/>
  <c r="B303" i="5"/>
  <c r="F99" i="5"/>
  <c r="F304" i="5"/>
  <c r="D303" i="5"/>
  <c r="D98" i="5"/>
  <c r="G99" i="5"/>
  <c r="G304" i="5"/>
  <c r="K99" i="5"/>
  <c r="K304" i="5"/>
  <c r="H99" i="5"/>
  <c r="H304" i="5"/>
  <c r="J99" i="5"/>
  <c r="J304" i="5"/>
  <c r="E98" i="5"/>
  <c r="E303" i="5"/>
  <c r="L304" i="5" l="1"/>
  <c r="L99" i="5"/>
  <c r="F305" i="5"/>
  <c r="F100" i="5"/>
  <c r="B304" i="5"/>
  <c r="B99" i="5"/>
  <c r="K100" i="5"/>
  <c r="K305" i="5"/>
  <c r="E99" i="5"/>
  <c r="E304" i="5"/>
  <c r="G100" i="5"/>
  <c r="G305" i="5"/>
  <c r="I304" i="5"/>
  <c r="I99" i="5"/>
  <c r="D304" i="5"/>
  <c r="D99" i="5"/>
  <c r="H100" i="5"/>
  <c r="H305" i="5"/>
  <c r="J305" i="5"/>
  <c r="J100" i="5"/>
  <c r="C304" i="5"/>
  <c r="C99" i="5"/>
  <c r="L100" i="5" l="1"/>
  <c r="L305" i="5"/>
  <c r="E305" i="5"/>
  <c r="E100" i="5"/>
  <c r="K101" i="5"/>
  <c r="K306" i="5"/>
  <c r="D100" i="5"/>
  <c r="D305" i="5"/>
  <c r="C305" i="5"/>
  <c r="C100" i="5"/>
  <c r="I100" i="5"/>
  <c r="I305" i="5"/>
  <c r="B305" i="5"/>
  <c r="B100" i="5"/>
  <c r="H306" i="5"/>
  <c r="H101" i="5"/>
  <c r="J101" i="5"/>
  <c r="J306" i="5"/>
  <c r="F306" i="5"/>
  <c r="F101" i="5"/>
  <c r="G101" i="5"/>
  <c r="G306" i="5"/>
  <c r="L101" i="5" l="1"/>
  <c r="L306" i="5"/>
  <c r="D306" i="5"/>
  <c r="D101" i="5"/>
  <c r="C306" i="5"/>
  <c r="C101" i="5"/>
  <c r="B101" i="5"/>
  <c r="B306" i="5"/>
  <c r="K102" i="5"/>
  <c r="K307" i="5"/>
  <c r="J102" i="5"/>
  <c r="J307" i="5"/>
  <c r="G307" i="5"/>
  <c r="G102" i="5"/>
  <c r="E306" i="5"/>
  <c r="E101" i="5"/>
  <c r="H102" i="5"/>
  <c r="H307" i="5"/>
  <c r="F307" i="5"/>
  <c r="F102" i="5"/>
  <c r="I101" i="5"/>
  <c r="I306" i="5"/>
  <c r="L307" i="5" l="1"/>
  <c r="L102" i="5"/>
  <c r="K103" i="5"/>
  <c r="K308" i="5"/>
  <c r="B102" i="5"/>
  <c r="B307" i="5"/>
  <c r="G308" i="5"/>
  <c r="G103" i="5"/>
  <c r="C102" i="5"/>
  <c r="C307" i="5"/>
  <c r="E307" i="5"/>
  <c r="E102" i="5"/>
  <c r="I307" i="5"/>
  <c r="I102" i="5"/>
  <c r="D102" i="5"/>
  <c r="D307" i="5"/>
  <c r="H308" i="5"/>
  <c r="H103" i="5"/>
  <c r="F308" i="5"/>
  <c r="F103" i="5"/>
  <c r="J103" i="5"/>
  <c r="J308" i="5"/>
  <c r="L308" i="5" l="1"/>
  <c r="L103" i="5"/>
  <c r="C308" i="5"/>
  <c r="C103" i="5"/>
  <c r="G104" i="5"/>
  <c r="G309" i="5"/>
  <c r="I103" i="5"/>
  <c r="I308" i="5"/>
  <c r="D308" i="5"/>
  <c r="D103" i="5"/>
  <c r="B308" i="5"/>
  <c r="B103" i="5"/>
  <c r="H104" i="5"/>
  <c r="H309" i="5"/>
  <c r="J104" i="5"/>
  <c r="J309" i="5"/>
  <c r="E103" i="5"/>
  <c r="E308" i="5"/>
  <c r="F104" i="5"/>
  <c r="F309" i="5"/>
  <c r="K309" i="5"/>
  <c r="K104" i="5"/>
  <c r="L104" i="5" l="1"/>
  <c r="L309" i="5"/>
  <c r="I309" i="5"/>
  <c r="I104" i="5"/>
  <c r="E309" i="5"/>
  <c r="E104" i="5"/>
  <c r="K310" i="5"/>
  <c r="K105" i="5"/>
  <c r="H105" i="5"/>
  <c r="H310" i="5"/>
  <c r="G310" i="5"/>
  <c r="G105" i="5"/>
  <c r="J310" i="5"/>
  <c r="J105" i="5"/>
  <c r="B309" i="5"/>
  <c r="B104" i="5"/>
  <c r="C309" i="5"/>
  <c r="C104" i="5"/>
  <c r="D309" i="5"/>
  <c r="D104" i="5"/>
  <c r="F105" i="5"/>
  <c r="F310" i="5"/>
  <c r="L310" i="5" l="1"/>
  <c r="L105" i="5"/>
  <c r="H311" i="5"/>
  <c r="H106" i="5"/>
  <c r="K311" i="5"/>
  <c r="K106" i="5"/>
  <c r="J106" i="5"/>
  <c r="J311" i="5"/>
  <c r="E310" i="5"/>
  <c r="E105" i="5"/>
  <c r="F311" i="5"/>
  <c r="F106" i="5"/>
  <c r="G311" i="5"/>
  <c r="G106" i="5"/>
  <c r="I310" i="5"/>
  <c r="I105" i="5"/>
  <c r="C105" i="5"/>
  <c r="C310" i="5"/>
  <c r="B310" i="5"/>
  <c r="B105" i="5"/>
  <c r="D105" i="5"/>
  <c r="D310" i="5"/>
  <c r="L311" i="5" l="1"/>
  <c r="L106" i="5"/>
  <c r="J312" i="5"/>
  <c r="J107" i="5"/>
  <c r="G312" i="5"/>
  <c r="G107" i="5"/>
  <c r="K312" i="5"/>
  <c r="K107" i="5"/>
  <c r="E106" i="5"/>
  <c r="E311" i="5"/>
  <c r="D106" i="5"/>
  <c r="D311" i="5"/>
  <c r="C106" i="5"/>
  <c r="C311" i="5"/>
  <c r="F107" i="5"/>
  <c r="F312" i="5"/>
  <c r="H312" i="5"/>
  <c r="H107" i="5"/>
  <c r="I106" i="5"/>
  <c r="I311" i="5"/>
  <c r="B311" i="5"/>
  <c r="B106" i="5"/>
  <c r="L312" i="5" l="1"/>
  <c r="L107" i="5"/>
  <c r="H108" i="5"/>
  <c r="H313" i="5"/>
  <c r="E107" i="5"/>
  <c r="E312" i="5"/>
  <c r="K313" i="5"/>
  <c r="K108" i="5"/>
  <c r="B312" i="5"/>
  <c r="B107" i="5"/>
  <c r="G108" i="5"/>
  <c r="G313" i="5"/>
  <c r="C107" i="5"/>
  <c r="C312" i="5"/>
  <c r="J313" i="5"/>
  <c r="J108" i="5"/>
  <c r="F108" i="5"/>
  <c r="F313" i="5"/>
  <c r="I312" i="5"/>
  <c r="I107" i="5"/>
  <c r="D312" i="5"/>
  <c r="D107" i="5"/>
  <c r="L108" i="5" l="1"/>
  <c r="L313" i="5"/>
  <c r="K109" i="5"/>
  <c r="K314" i="5"/>
  <c r="F314" i="5"/>
  <c r="F109" i="5"/>
  <c r="C313" i="5"/>
  <c r="C108" i="5"/>
  <c r="E313" i="5"/>
  <c r="E108" i="5"/>
  <c r="B313" i="5"/>
  <c r="B108" i="5"/>
  <c r="J314" i="5"/>
  <c r="J109" i="5"/>
  <c r="D108" i="5"/>
  <c r="D313" i="5"/>
  <c r="I108" i="5"/>
  <c r="I313" i="5"/>
  <c r="G314" i="5"/>
  <c r="G109" i="5"/>
  <c r="H109" i="5"/>
  <c r="H314" i="5"/>
  <c r="L109" i="5" l="1"/>
  <c r="L314" i="5"/>
  <c r="I109" i="5"/>
  <c r="I314" i="5"/>
  <c r="C314" i="5"/>
  <c r="C109" i="5"/>
  <c r="D314" i="5"/>
  <c r="D109" i="5"/>
  <c r="E314" i="5"/>
  <c r="E109" i="5"/>
  <c r="J110" i="5"/>
  <c r="J315" i="5"/>
  <c r="F315" i="5"/>
  <c r="F110" i="5"/>
  <c r="H110" i="5"/>
  <c r="H315" i="5"/>
  <c r="B109" i="5"/>
  <c r="B314" i="5"/>
  <c r="G315" i="5"/>
  <c r="G110" i="5"/>
  <c r="K110" i="5"/>
  <c r="K315" i="5"/>
  <c r="L315" i="5" l="1"/>
  <c r="L110" i="5"/>
  <c r="D315" i="5"/>
  <c r="D110" i="5"/>
  <c r="H316" i="5"/>
  <c r="H111" i="5"/>
  <c r="C110" i="5"/>
  <c r="C315" i="5"/>
  <c r="B110" i="5"/>
  <c r="B315" i="5"/>
  <c r="K111" i="5"/>
  <c r="K316" i="5"/>
  <c r="E315" i="5"/>
  <c r="E110" i="5"/>
  <c r="F316" i="5"/>
  <c r="F111" i="5"/>
  <c r="G316" i="5"/>
  <c r="G111" i="5"/>
  <c r="J316" i="5"/>
  <c r="J111" i="5"/>
  <c r="I110" i="5"/>
  <c r="I315" i="5"/>
  <c r="L316" i="5" l="1"/>
  <c r="L111" i="5"/>
  <c r="C316" i="5"/>
  <c r="C111" i="5"/>
  <c r="H317" i="5"/>
  <c r="H112" i="5"/>
  <c r="F112" i="5"/>
  <c r="F317" i="5"/>
  <c r="I316" i="5"/>
  <c r="I111" i="5"/>
  <c r="G112" i="5"/>
  <c r="G317" i="5"/>
  <c r="J317" i="5"/>
  <c r="J112" i="5"/>
  <c r="D316" i="5"/>
  <c r="D111" i="5"/>
  <c r="B316" i="5"/>
  <c r="B111" i="5"/>
  <c r="E316" i="5"/>
  <c r="E111" i="5"/>
  <c r="K112" i="5"/>
  <c r="K317" i="5"/>
  <c r="L112" i="5" l="1"/>
  <c r="L317" i="5"/>
  <c r="F113" i="5"/>
  <c r="F318" i="5"/>
  <c r="J113" i="5"/>
  <c r="J318" i="5"/>
  <c r="H318" i="5"/>
  <c r="H113" i="5"/>
  <c r="K318" i="5"/>
  <c r="K113" i="5"/>
  <c r="B112" i="5"/>
  <c r="B317" i="5"/>
  <c r="D317" i="5"/>
  <c r="D112" i="5"/>
  <c r="E317" i="5"/>
  <c r="E112" i="5"/>
  <c r="C317" i="5"/>
  <c r="C112" i="5"/>
  <c r="I317" i="5"/>
  <c r="I112" i="5"/>
  <c r="G318" i="5"/>
  <c r="G113" i="5"/>
  <c r="L318" i="5" l="1"/>
  <c r="L113" i="5"/>
  <c r="K114" i="5"/>
  <c r="K319" i="5"/>
  <c r="H319" i="5"/>
  <c r="H114" i="5"/>
  <c r="D113" i="5"/>
  <c r="D318" i="5"/>
  <c r="J114" i="5"/>
  <c r="J319" i="5"/>
  <c r="E318" i="5"/>
  <c r="E113" i="5"/>
  <c r="I318" i="5"/>
  <c r="I113" i="5"/>
  <c r="C318" i="5"/>
  <c r="C113" i="5"/>
  <c r="G319" i="5"/>
  <c r="G114" i="5"/>
  <c r="B113" i="5"/>
  <c r="B318" i="5"/>
  <c r="F114" i="5"/>
  <c r="F319" i="5"/>
  <c r="L319" i="5" l="1"/>
  <c r="L114" i="5"/>
  <c r="J320" i="5"/>
  <c r="J115" i="5"/>
  <c r="J116" i="5" a="1"/>
  <c r="D114" i="5"/>
  <c r="D319" i="5"/>
  <c r="I114" i="5"/>
  <c r="I319" i="5"/>
  <c r="H115" i="5"/>
  <c r="H320" i="5"/>
  <c r="H116" i="5" a="1"/>
  <c r="G320" i="5"/>
  <c r="G115" i="5"/>
  <c r="G116" i="5" a="1"/>
  <c r="E114" i="5"/>
  <c r="E319" i="5"/>
  <c r="C114" i="5"/>
  <c r="C319" i="5"/>
  <c r="F115" i="5"/>
  <c r="F320" i="5"/>
  <c r="F116" i="5" a="1"/>
  <c r="B319" i="5"/>
  <c r="B114" i="5"/>
  <c r="K320" i="5"/>
  <c r="K115" i="5"/>
  <c r="K116" i="5" a="1"/>
  <c r="L320" i="5" l="1"/>
  <c r="L115" i="5"/>
  <c r="L116" i="5" a="1"/>
  <c r="C115" i="5"/>
  <c r="C320" i="5"/>
  <c r="C116" i="5" a="1"/>
  <c r="B320" i="5"/>
  <c r="B115" i="5"/>
  <c r="B116" i="5" a="1"/>
  <c r="E320" i="5"/>
  <c r="E115" i="5"/>
  <c r="E116" i="5" a="1"/>
  <c r="I320" i="5"/>
  <c r="I115" i="5"/>
  <c r="I116" i="5" a="1"/>
  <c r="G117" i="5"/>
  <c r="G125" i="5"/>
  <c r="G133" i="5"/>
  <c r="G141" i="5"/>
  <c r="G149" i="5"/>
  <c r="G157" i="5"/>
  <c r="G165" i="5"/>
  <c r="G173" i="5"/>
  <c r="G181" i="5"/>
  <c r="G189" i="5"/>
  <c r="G197" i="5"/>
  <c r="G205" i="5"/>
  <c r="G213" i="5"/>
  <c r="G122" i="5"/>
  <c r="G131" i="5"/>
  <c r="G140" i="5"/>
  <c r="G150" i="5"/>
  <c r="G159" i="5"/>
  <c r="G168" i="5"/>
  <c r="G177" i="5"/>
  <c r="G186" i="5"/>
  <c r="G195" i="5"/>
  <c r="G204" i="5"/>
  <c r="G214" i="5"/>
  <c r="G124" i="5"/>
  <c r="G134" i="5"/>
  <c r="G143" i="5"/>
  <c r="G152" i="5"/>
  <c r="G161" i="5"/>
  <c r="G170" i="5"/>
  <c r="G179" i="5"/>
  <c r="G188" i="5"/>
  <c r="G198" i="5"/>
  <c r="G207" i="5"/>
  <c r="G216" i="5"/>
  <c r="G116" i="5"/>
  <c r="G128" i="5"/>
  <c r="G139" i="5"/>
  <c r="G153" i="5"/>
  <c r="G164" i="5"/>
  <c r="G176" i="5"/>
  <c r="G190" i="5"/>
  <c r="G201" i="5"/>
  <c r="G212" i="5"/>
  <c r="G118" i="5"/>
  <c r="G129" i="5"/>
  <c r="G142" i="5"/>
  <c r="G154" i="5"/>
  <c r="G166" i="5"/>
  <c r="G178" i="5"/>
  <c r="G191" i="5"/>
  <c r="G202" i="5"/>
  <c r="G215" i="5"/>
  <c r="G119" i="5"/>
  <c r="G130" i="5"/>
  <c r="G144" i="5"/>
  <c r="G155" i="5"/>
  <c r="G167" i="5"/>
  <c r="G180" i="5"/>
  <c r="G192" i="5"/>
  <c r="G203" i="5"/>
  <c r="G217" i="5"/>
  <c r="G121" i="5"/>
  <c r="G135" i="5"/>
  <c r="G146" i="5"/>
  <c r="G158" i="5"/>
  <c r="G171" i="5"/>
  <c r="G183" i="5"/>
  <c r="G194" i="5"/>
  <c r="G208" i="5"/>
  <c r="G126" i="5"/>
  <c r="G137" i="5"/>
  <c r="G148" i="5"/>
  <c r="G162" i="5"/>
  <c r="G174" i="5"/>
  <c r="G185" i="5"/>
  <c r="G199" i="5"/>
  <c r="G210" i="5"/>
  <c r="G138" i="5"/>
  <c r="G172" i="5"/>
  <c r="G206" i="5"/>
  <c r="G123" i="5"/>
  <c r="G156" i="5"/>
  <c r="G187" i="5"/>
  <c r="G147" i="5"/>
  <c r="G193" i="5"/>
  <c r="G151" i="5"/>
  <c r="G196" i="5"/>
  <c r="G120" i="5"/>
  <c r="G163" i="5"/>
  <c r="G209" i="5"/>
  <c r="G127" i="5"/>
  <c r="G169" i="5"/>
  <c r="G211" i="5"/>
  <c r="G132" i="5"/>
  <c r="G175" i="5"/>
  <c r="G136" i="5"/>
  <c r="G182" i="5"/>
  <c r="G145" i="5"/>
  <c r="G184" i="5"/>
  <c r="G160" i="5"/>
  <c r="G200" i="5"/>
  <c r="F116" i="5"/>
  <c r="F124" i="5"/>
  <c r="F132" i="5"/>
  <c r="F140" i="5"/>
  <c r="F148" i="5"/>
  <c r="F156" i="5"/>
  <c r="F164" i="5"/>
  <c r="F172" i="5"/>
  <c r="F180" i="5"/>
  <c r="F188" i="5"/>
  <c r="F196" i="5"/>
  <c r="F204" i="5"/>
  <c r="F212" i="5"/>
  <c r="F119" i="5"/>
  <c r="F128" i="5"/>
  <c r="F137" i="5"/>
  <c r="F146" i="5"/>
  <c r="F155" i="5"/>
  <c r="F165" i="5"/>
  <c r="F174" i="5"/>
  <c r="F183" i="5"/>
  <c r="F192" i="5"/>
  <c r="F201" i="5"/>
  <c r="F210" i="5"/>
  <c r="F121" i="5"/>
  <c r="F130" i="5"/>
  <c r="F139" i="5"/>
  <c r="F149" i="5"/>
  <c r="F158" i="5"/>
  <c r="F167" i="5"/>
  <c r="F176" i="5"/>
  <c r="F185" i="5"/>
  <c r="F194" i="5"/>
  <c r="F203" i="5"/>
  <c r="F213" i="5"/>
  <c r="F117" i="5"/>
  <c r="F129" i="5"/>
  <c r="F142" i="5"/>
  <c r="F153" i="5"/>
  <c r="F166" i="5"/>
  <c r="F178" i="5"/>
  <c r="F190" i="5"/>
  <c r="F202" i="5"/>
  <c r="F215" i="5"/>
  <c r="F118" i="5"/>
  <c r="F131" i="5"/>
  <c r="F143" i="5"/>
  <c r="F154" i="5"/>
  <c r="F168" i="5"/>
  <c r="F179" i="5"/>
  <c r="F191" i="5"/>
  <c r="F205" i="5"/>
  <c r="F216" i="5"/>
  <c r="F122" i="5"/>
  <c r="F134" i="5"/>
  <c r="F145" i="5"/>
  <c r="F159" i="5"/>
  <c r="F170" i="5"/>
  <c r="F182" i="5"/>
  <c r="F195" i="5"/>
  <c r="F207" i="5"/>
  <c r="F125" i="5"/>
  <c r="F136" i="5"/>
  <c r="F150" i="5"/>
  <c r="F161" i="5"/>
  <c r="F173" i="5"/>
  <c r="F186" i="5"/>
  <c r="F198" i="5"/>
  <c r="F209" i="5"/>
  <c r="F123" i="5"/>
  <c r="F147" i="5"/>
  <c r="F171" i="5"/>
  <c r="F197" i="5"/>
  <c r="F135" i="5"/>
  <c r="F160" i="5"/>
  <c r="F184" i="5"/>
  <c r="F208" i="5"/>
  <c r="F144" i="5"/>
  <c r="F177" i="5"/>
  <c r="F211" i="5"/>
  <c r="F151" i="5"/>
  <c r="F181" i="5"/>
  <c r="F214" i="5"/>
  <c r="F126" i="5"/>
  <c r="F157" i="5"/>
  <c r="F189" i="5"/>
  <c r="F127" i="5"/>
  <c r="F162" i="5"/>
  <c r="F193" i="5"/>
  <c r="F133" i="5"/>
  <c r="F163" i="5"/>
  <c r="F199" i="5"/>
  <c r="F141" i="5"/>
  <c r="F175" i="5"/>
  <c r="F206" i="5"/>
  <c r="F187" i="5"/>
  <c r="F200" i="5"/>
  <c r="F217" i="5"/>
  <c r="F120" i="5"/>
  <c r="F138" i="5"/>
  <c r="F152" i="5"/>
  <c r="F169" i="5"/>
  <c r="D320" i="5"/>
  <c r="D115" i="5"/>
  <c r="D116" i="5" a="1"/>
  <c r="J123" i="5"/>
  <c r="J131" i="5"/>
  <c r="J139" i="5"/>
  <c r="J147" i="5"/>
  <c r="J155" i="5"/>
  <c r="J163" i="5"/>
  <c r="J171" i="5"/>
  <c r="J179" i="5"/>
  <c r="J187" i="5"/>
  <c r="J195" i="5"/>
  <c r="J203" i="5"/>
  <c r="J211" i="5"/>
  <c r="J122" i="5"/>
  <c r="J132" i="5"/>
  <c r="J141" i="5"/>
  <c r="J150" i="5"/>
  <c r="J159" i="5"/>
  <c r="J168" i="5"/>
  <c r="J177" i="5"/>
  <c r="J186" i="5"/>
  <c r="J196" i="5"/>
  <c r="J205" i="5"/>
  <c r="J214" i="5"/>
  <c r="J116" i="5"/>
  <c r="J125" i="5"/>
  <c r="J134" i="5"/>
  <c r="J143" i="5"/>
  <c r="J152" i="5"/>
  <c r="J161" i="5"/>
  <c r="J170" i="5"/>
  <c r="J180" i="5"/>
  <c r="J189" i="5"/>
  <c r="J198" i="5"/>
  <c r="J207" i="5"/>
  <c r="J216" i="5"/>
  <c r="J119" i="5"/>
  <c r="J130" i="5"/>
  <c r="J144" i="5"/>
  <c r="J156" i="5"/>
  <c r="J167" i="5"/>
  <c r="J181" i="5"/>
  <c r="J192" i="5"/>
  <c r="J204" i="5"/>
  <c r="J217" i="5"/>
  <c r="J121" i="5"/>
  <c r="J135" i="5"/>
  <c r="J146" i="5"/>
  <c r="J158" i="5"/>
  <c r="J172" i="5"/>
  <c r="J183" i="5"/>
  <c r="J194" i="5"/>
  <c r="J208" i="5"/>
  <c r="J117" i="5"/>
  <c r="J133" i="5"/>
  <c r="J149" i="5"/>
  <c r="J165" i="5"/>
  <c r="J182" i="5"/>
  <c r="J199" i="5"/>
  <c r="J213" i="5"/>
  <c r="J126" i="5"/>
  <c r="J140" i="5"/>
  <c r="J157" i="5"/>
  <c r="J174" i="5"/>
  <c r="J190" i="5"/>
  <c r="J206" i="5"/>
  <c r="J127" i="5"/>
  <c r="J142" i="5"/>
  <c r="J160" i="5"/>
  <c r="J175" i="5"/>
  <c r="J191" i="5"/>
  <c r="J209" i="5"/>
  <c r="J138" i="5"/>
  <c r="J166" i="5"/>
  <c r="J193" i="5"/>
  <c r="J128" i="5"/>
  <c r="J153" i="5"/>
  <c r="J178" i="5"/>
  <c r="J202" i="5"/>
  <c r="J129" i="5"/>
  <c r="J154" i="5"/>
  <c r="J184" i="5"/>
  <c r="J210" i="5"/>
  <c r="J137" i="5"/>
  <c r="J164" i="5"/>
  <c r="J188" i="5"/>
  <c r="J215" i="5"/>
  <c r="J120" i="5"/>
  <c r="J173" i="5"/>
  <c r="J136" i="5"/>
  <c r="J185" i="5"/>
  <c r="J162" i="5"/>
  <c r="J169" i="5"/>
  <c r="J176" i="5"/>
  <c r="J118" i="5"/>
  <c r="J197" i="5"/>
  <c r="J124" i="5"/>
  <c r="J200" i="5"/>
  <c r="J145" i="5"/>
  <c r="J201" i="5"/>
  <c r="J148" i="5"/>
  <c r="J212" i="5"/>
  <c r="J151" i="5"/>
  <c r="H121" i="5"/>
  <c r="H129" i="5"/>
  <c r="H137" i="5"/>
  <c r="H145" i="5"/>
  <c r="H153" i="5"/>
  <c r="H161" i="5"/>
  <c r="H169" i="5"/>
  <c r="H177" i="5"/>
  <c r="H185" i="5"/>
  <c r="H193" i="5"/>
  <c r="H201" i="5"/>
  <c r="H209" i="5"/>
  <c r="H217" i="5"/>
  <c r="H118" i="5"/>
  <c r="H126" i="5"/>
  <c r="H134" i="5"/>
  <c r="H142" i="5"/>
  <c r="H150" i="5"/>
  <c r="H158" i="5"/>
  <c r="H166" i="5"/>
  <c r="H174" i="5"/>
  <c r="H182" i="5"/>
  <c r="H190" i="5"/>
  <c r="H198" i="5"/>
  <c r="H206" i="5"/>
  <c r="H214" i="5"/>
  <c r="H122" i="5"/>
  <c r="H132" i="5"/>
  <c r="H143" i="5"/>
  <c r="H154" i="5"/>
  <c r="H164" i="5"/>
  <c r="H175" i="5"/>
  <c r="H186" i="5"/>
  <c r="H196" i="5"/>
  <c r="H207" i="5"/>
  <c r="H116" i="5"/>
  <c r="H127" i="5"/>
  <c r="H138" i="5"/>
  <c r="H148" i="5"/>
  <c r="H159" i="5"/>
  <c r="H170" i="5"/>
  <c r="H180" i="5"/>
  <c r="H191" i="5"/>
  <c r="H202" i="5"/>
  <c r="H212" i="5"/>
  <c r="H117" i="5"/>
  <c r="H128" i="5"/>
  <c r="H139" i="5"/>
  <c r="H149" i="5"/>
  <c r="H160" i="5"/>
  <c r="H171" i="5"/>
  <c r="H181" i="5"/>
  <c r="H192" i="5"/>
  <c r="H203" i="5"/>
  <c r="H213" i="5"/>
  <c r="H120" i="5"/>
  <c r="H131" i="5"/>
  <c r="H141" i="5"/>
  <c r="H152" i="5"/>
  <c r="H163" i="5"/>
  <c r="H173" i="5"/>
  <c r="H184" i="5"/>
  <c r="H195" i="5"/>
  <c r="H205" i="5"/>
  <c r="H216" i="5"/>
  <c r="H133" i="5"/>
  <c r="H155" i="5"/>
  <c r="H176" i="5"/>
  <c r="H197" i="5"/>
  <c r="H136" i="5"/>
  <c r="H157" i="5"/>
  <c r="H179" i="5"/>
  <c r="H200" i="5"/>
  <c r="H144" i="5"/>
  <c r="H168" i="5"/>
  <c r="H199" i="5"/>
  <c r="H119" i="5"/>
  <c r="H146" i="5"/>
  <c r="H172" i="5"/>
  <c r="H204" i="5"/>
  <c r="H123" i="5"/>
  <c r="H147" i="5"/>
  <c r="H178" i="5"/>
  <c r="H208" i="5"/>
  <c r="H125" i="5"/>
  <c r="H156" i="5"/>
  <c r="H187" i="5"/>
  <c r="H211" i="5"/>
  <c r="H135" i="5"/>
  <c r="H165" i="5"/>
  <c r="H189" i="5"/>
  <c r="H124" i="5"/>
  <c r="H194" i="5"/>
  <c r="H162" i="5"/>
  <c r="H183" i="5"/>
  <c r="H188" i="5"/>
  <c r="H210" i="5"/>
  <c r="H215" i="5"/>
  <c r="H130" i="5"/>
  <c r="H140" i="5"/>
  <c r="H151" i="5"/>
  <c r="H167" i="5"/>
  <c r="K120" i="5"/>
  <c r="K128" i="5"/>
  <c r="K136" i="5"/>
  <c r="K144" i="5"/>
  <c r="K152" i="5"/>
  <c r="K160" i="5"/>
  <c r="K168" i="5"/>
  <c r="K176" i="5"/>
  <c r="K184" i="5"/>
  <c r="K192" i="5"/>
  <c r="K200" i="5"/>
  <c r="K208" i="5"/>
  <c r="K216" i="5"/>
  <c r="K116" i="5"/>
  <c r="K124" i="5"/>
  <c r="K132" i="5"/>
  <c r="K140" i="5"/>
  <c r="K148" i="5"/>
  <c r="K156" i="5"/>
  <c r="K164" i="5"/>
  <c r="K172" i="5"/>
  <c r="K180" i="5"/>
  <c r="K188" i="5"/>
  <c r="K196" i="5"/>
  <c r="K204" i="5"/>
  <c r="K212" i="5"/>
  <c r="K125" i="5"/>
  <c r="K135" i="5"/>
  <c r="K146" i="5"/>
  <c r="K157" i="5"/>
  <c r="K167" i="5"/>
  <c r="K178" i="5"/>
  <c r="K189" i="5"/>
  <c r="K199" i="5"/>
  <c r="K210" i="5"/>
  <c r="K126" i="5"/>
  <c r="K137" i="5"/>
  <c r="K147" i="5"/>
  <c r="K158" i="5"/>
  <c r="K169" i="5"/>
  <c r="K179" i="5"/>
  <c r="K190" i="5"/>
  <c r="K201" i="5"/>
  <c r="K211" i="5"/>
  <c r="K117" i="5"/>
  <c r="K127" i="5"/>
  <c r="K138" i="5"/>
  <c r="K149" i="5"/>
  <c r="K159" i="5"/>
  <c r="K170" i="5"/>
  <c r="K181" i="5"/>
  <c r="K191" i="5"/>
  <c r="K202" i="5"/>
  <c r="K213" i="5"/>
  <c r="K130" i="5"/>
  <c r="K145" i="5"/>
  <c r="K163" i="5"/>
  <c r="K182" i="5"/>
  <c r="K197" i="5"/>
  <c r="K215" i="5"/>
  <c r="K118" i="5"/>
  <c r="K133" i="5"/>
  <c r="K151" i="5"/>
  <c r="K166" i="5"/>
  <c r="K185" i="5"/>
  <c r="K203" i="5"/>
  <c r="K129" i="5"/>
  <c r="K153" i="5"/>
  <c r="K174" i="5"/>
  <c r="K195" i="5"/>
  <c r="K119" i="5"/>
  <c r="K141" i="5"/>
  <c r="K162" i="5"/>
  <c r="K186" i="5"/>
  <c r="K207" i="5"/>
  <c r="K121" i="5"/>
  <c r="K142" i="5"/>
  <c r="K165" i="5"/>
  <c r="K187" i="5"/>
  <c r="K209" i="5"/>
  <c r="K123" i="5"/>
  <c r="K150" i="5"/>
  <c r="K173" i="5"/>
  <c r="K194" i="5"/>
  <c r="K217" i="5"/>
  <c r="K143" i="5"/>
  <c r="K193" i="5"/>
  <c r="K154" i="5"/>
  <c r="K155" i="5"/>
  <c r="K205" i="5"/>
  <c r="K161" i="5"/>
  <c r="K122" i="5"/>
  <c r="K171" i="5"/>
  <c r="K214" i="5"/>
  <c r="K131" i="5"/>
  <c r="K175" i="5"/>
  <c r="K134" i="5"/>
  <c r="K177" i="5"/>
  <c r="K139" i="5"/>
  <c r="K183" i="5"/>
  <c r="K198" i="5"/>
  <c r="K206" i="5"/>
  <c r="L117" i="5" l="1"/>
  <c r="L125" i="5"/>
  <c r="L133" i="5"/>
  <c r="L141" i="5"/>
  <c r="L149" i="5"/>
  <c r="L157" i="5"/>
  <c r="L165" i="5"/>
  <c r="L173" i="5"/>
  <c r="L181" i="5"/>
  <c r="L189" i="5"/>
  <c r="L197" i="5"/>
  <c r="L205" i="5"/>
  <c r="L213" i="5"/>
  <c r="L118" i="5"/>
  <c r="L126" i="5"/>
  <c r="L134" i="5"/>
  <c r="L142" i="5"/>
  <c r="L150" i="5"/>
  <c r="L158" i="5"/>
  <c r="L166" i="5"/>
  <c r="L174" i="5"/>
  <c r="L182" i="5"/>
  <c r="L190" i="5"/>
  <c r="L198" i="5"/>
  <c r="L206" i="5"/>
  <c r="L214" i="5"/>
  <c r="L119" i="5"/>
  <c r="L127" i="5"/>
  <c r="L135" i="5"/>
  <c r="L143" i="5"/>
  <c r="L151" i="5"/>
  <c r="L159" i="5"/>
  <c r="L167" i="5"/>
  <c r="L175" i="5"/>
  <c r="L183" i="5"/>
  <c r="L191" i="5"/>
  <c r="L199" i="5"/>
  <c r="L207" i="5"/>
  <c r="L215" i="5"/>
  <c r="L120" i="5"/>
  <c r="L128" i="5"/>
  <c r="L136" i="5"/>
  <c r="L144" i="5"/>
  <c r="L152" i="5"/>
  <c r="L160" i="5"/>
  <c r="L168" i="5"/>
  <c r="L176" i="5"/>
  <c r="L184" i="5"/>
  <c r="L192" i="5"/>
  <c r="L200" i="5"/>
  <c r="L208" i="5"/>
  <c r="L216" i="5"/>
  <c r="L122" i="5"/>
  <c r="L130" i="5"/>
  <c r="L138" i="5"/>
  <c r="L146" i="5"/>
  <c r="L154" i="5"/>
  <c r="L162" i="5"/>
  <c r="L170" i="5"/>
  <c r="L178" i="5"/>
  <c r="L186" i="5"/>
  <c r="L194" i="5"/>
  <c r="L202" i="5"/>
  <c r="L210" i="5"/>
  <c r="L121" i="5"/>
  <c r="L129" i="5"/>
  <c r="L137" i="5"/>
  <c r="L145" i="5"/>
  <c r="L153" i="5"/>
  <c r="L161" i="5"/>
  <c r="L169" i="5"/>
  <c r="L177" i="5"/>
  <c r="L185" i="5"/>
  <c r="L193" i="5"/>
  <c r="L201" i="5"/>
  <c r="L209" i="5"/>
  <c r="L217" i="5"/>
  <c r="L123" i="5"/>
  <c r="L131" i="5"/>
  <c r="L139" i="5"/>
  <c r="L147" i="5"/>
  <c r="L155" i="5"/>
  <c r="L163" i="5"/>
  <c r="L171" i="5"/>
  <c r="L179" i="5"/>
  <c r="L187" i="5"/>
  <c r="L195" i="5"/>
  <c r="L203" i="5"/>
  <c r="L211" i="5"/>
  <c r="L116" i="5"/>
  <c r="L124" i="5"/>
  <c r="L132" i="5"/>
  <c r="L140" i="5"/>
  <c r="L148" i="5"/>
  <c r="L156" i="5"/>
  <c r="L164" i="5"/>
  <c r="L172" i="5"/>
  <c r="L180" i="5"/>
  <c r="L188" i="5"/>
  <c r="L196" i="5"/>
  <c r="L204" i="5"/>
  <c r="L212" i="5"/>
  <c r="B122" i="5"/>
  <c r="B130" i="5"/>
  <c r="B138" i="5"/>
  <c r="B146" i="5"/>
  <c r="B154" i="5"/>
  <c r="B162" i="5"/>
  <c r="B170" i="5"/>
  <c r="B178" i="5"/>
  <c r="B186" i="5"/>
  <c r="B194" i="5"/>
  <c r="B202" i="5"/>
  <c r="B210" i="5"/>
  <c r="B118" i="5"/>
  <c r="B126" i="5"/>
  <c r="B134" i="5"/>
  <c r="B142" i="5"/>
  <c r="B150" i="5"/>
  <c r="B158" i="5"/>
  <c r="B166" i="5"/>
  <c r="B174" i="5"/>
  <c r="B182" i="5"/>
  <c r="B190" i="5"/>
  <c r="B198" i="5"/>
  <c r="B206" i="5"/>
  <c r="B214" i="5"/>
  <c r="B124" i="5"/>
  <c r="B135" i="5"/>
  <c r="B145" i="5"/>
  <c r="B156" i="5"/>
  <c r="B167" i="5"/>
  <c r="B177" i="5"/>
  <c r="B188" i="5"/>
  <c r="B199" i="5"/>
  <c r="B209" i="5"/>
  <c r="B125" i="5"/>
  <c r="B136" i="5"/>
  <c r="B147" i="5"/>
  <c r="B157" i="5"/>
  <c r="B168" i="5"/>
  <c r="B179" i="5"/>
  <c r="B189" i="5"/>
  <c r="B200" i="5"/>
  <c r="B211" i="5"/>
  <c r="B127" i="5"/>
  <c r="B148" i="5"/>
  <c r="B169" i="5"/>
  <c r="B191" i="5"/>
  <c r="B141" i="5"/>
  <c r="B117" i="5"/>
  <c r="B128" i="5"/>
  <c r="B139" i="5"/>
  <c r="B149" i="5"/>
  <c r="B160" i="5"/>
  <c r="B171" i="5"/>
  <c r="B181" i="5"/>
  <c r="B192" i="5"/>
  <c r="B203" i="5"/>
  <c r="B213" i="5"/>
  <c r="B163" i="5"/>
  <c r="B184" i="5"/>
  <c r="B205" i="5"/>
  <c r="B119" i="5"/>
  <c r="B129" i="5"/>
  <c r="B140" i="5"/>
  <c r="B151" i="5"/>
  <c r="B161" i="5"/>
  <c r="B172" i="5"/>
  <c r="B183" i="5"/>
  <c r="B193" i="5"/>
  <c r="B204" i="5"/>
  <c r="B215" i="5"/>
  <c r="B121" i="5"/>
  <c r="B132" i="5"/>
  <c r="B143" i="5"/>
  <c r="B153" i="5"/>
  <c r="B164" i="5"/>
  <c r="B175" i="5"/>
  <c r="B185" i="5"/>
  <c r="B196" i="5"/>
  <c r="B207" i="5"/>
  <c r="B217" i="5"/>
  <c r="B212" i="5"/>
  <c r="B123" i="5"/>
  <c r="B133" i="5"/>
  <c r="B144" i="5"/>
  <c r="B155" i="5"/>
  <c r="B165" i="5"/>
  <c r="B176" i="5"/>
  <c r="B187" i="5"/>
  <c r="B197" i="5"/>
  <c r="B208" i="5"/>
  <c r="B116" i="5"/>
  <c r="B137" i="5"/>
  <c r="B159" i="5"/>
  <c r="B180" i="5"/>
  <c r="B201" i="5"/>
  <c r="B120" i="5"/>
  <c r="B131" i="5"/>
  <c r="B152" i="5"/>
  <c r="B173" i="5"/>
  <c r="B195" i="5"/>
  <c r="B216" i="5"/>
  <c r="I122" i="5"/>
  <c r="I130" i="5"/>
  <c r="I138" i="5"/>
  <c r="I146" i="5"/>
  <c r="I154" i="5"/>
  <c r="I162" i="5"/>
  <c r="I170" i="5"/>
  <c r="I178" i="5"/>
  <c r="I186" i="5"/>
  <c r="I194" i="5"/>
  <c r="I119" i="5"/>
  <c r="I128" i="5"/>
  <c r="I137" i="5"/>
  <c r="I147" i="5"/>
  <c r="I156" i="5"/>
  <c r="I165" i="5"/>
  <c r="I174" i="5"/>
  <c r="I183" i="5"/>
  <c r="I192" i="5"/>
  <c r="I201" i="5"/>
  <c r="I209" i="5"/>
  <c r="I217" i="5"/>
  <c r="I121" i="5"/>
  <c r="I131" i="5"/>
  <c r="I140" i="5"/>
  <c r="I149" i="5"/>
  <c r="I158" i="5"/>
  <c r="I167" i="5"/>
  <c r="I176" i="5"/>
  <c r="I185" i="5"/>
  <c r="I195" i="5"/>
  <c r="I203" i="5"/>
  <c r="I211" i="5"/>
  <c r="I116" i="5"/>
  <c r="I127" i="5"/>
  <c r="I141" i="5"/>
  <c r="I152" i="5"/>
  <c r="I164" i="5"/>
  <c r="I177" i="5"/>
  <c r="I189" i="5"/>
  <c r="I200" i="5"/>
  <c r="I212" i="5"/>
  <c r="I124" i="5"/>
  <c r="I135" i="5"/>
  <c r="I148" i="5"/>
  <c r="I160" i="5"/>
  <c r="I172" i="5"/>
  <c r="I184" i="5"/>
  <c r="I197" i="5"/>
  <c r="I207" i="5"/>
  <c r="I123" i="5"/>
  <c r="I139" i="5"/>
  <c r="I155" i="5"/>
  <c r="I171" i="5"/>
  <c r="I188" i="5"/>
  <c r="I204" i="5"/>
  <c r="I216" i="5"/>
  <c r="I132" i="5"/>
  <c r="I145" i="5"/>
  <c r="I163" i="5"/>
  <c r="I180" i="5"/>
  <c r="I196" i="5"/>
  <c r="I210" i="5"/>
  <c r="I117" i="5"/>
  <c r="I133" i="5"/>
  <c r="I150" i="5"/>
  <c r="I166" i="5"/>
  <c r="I181" i="5"/>
  <c r="I198" i="5"/>
  <c r="I213" i="5"/>
  <c r="I120" i="5"/>
  <c r="I136" i="5"/>
  <c r="I153" i="5"/>
  <c r="I169" i="5"/>
  <c r="I187" i="5"/>
  <c r="I202" i="5"/>
  <c r="I215" i="5"/>
  <c r="I129" i="5"/>
  <c r="I161" i="5"/>
  <c r="I193" i="5"/>
  <c r="I142" i="5"/>
  <c r="I173" i="5"/>
  <c r="I205" i="5"/>
  <c r="I144" i="5"/>
  <c r="I190" i="5"/>
  <c r="I151" i="5"/>
  <c r="I191" i="5"/>
  <c r="I157" i="5"/>
  <c r="I199" i="5"/>
  <c r="I118" i="5"/>
  <c r="I159" i="5"/>
  <c r="I206" i="5"/>
  <c r="I125" i="5"/>
  <c r="I168" i="5"/>
  <c r="I208" i="5"/>
  <c r="I134" i="5"/>
  <c r="I179" i="5"/>
  <c r="I126" i="5"/>
  <c r="I214" i="5"/>
  <c r="I143" i="5"/>
  <c r="I175" i="5"/>
  <c r="I182" i="5"/>
  <c r="C123" i="5"/>
  <c r="C131" i="5"/>
  <c r="C139" i="5"/>
  <c r="C147" i="5"/>
  <c r="C155" i="5"/>
  <c r="C163" i="5"/>
  <c r="C171" i="5"/>
  <c r="C179" i="5"/>
  <c r="C187" i="5"/>
  <c r="C195" i="5"/>
  <c r="C203" i="5"/>
  <c r="C211" i="5"/>
  <c r="C119" i="5"/>
  <c r="C127" i="5"/>
  <c r="C135" i="5"/>
  <c r="C143" i="5"/>
  <c r="C151" i="5"/>
  <c r="C159" i="5"/>
  <c r="C167" i="5"/>
  <c r="C175" i="5"/>
  <c r="C183" i="5"/>
  <c r="C191" i="5"/>
  <c r="C199" i="5"/>
  <c r="C207" i="5"/>
  <c r="C215" i="5"/>
  <c r="C118" i="5"/>
  <c r="C129" i="5"/>
  <c r="C140" i="5"/>
  <c r="C150" i="5"/>
  <c r="C161" i="5"/>
  <c r="C172" i="5"/>
  <c r="C182" i="5"/>
  <c r="C193" i="5"/>
  <c r="C204" i="5"/>
  <c r="C214" i="5"/>
  <c r="C120" i="5"/>
  <c r="C130" i="5"/>
  <c r="C141" i="5"/>
  <c r="C152" i="5"/>
  <c r="C162" i="5"/>
  <c r="C173" i="5"/>
  <c r="C184" i="5"/>
  <c r="C194" i="5"/>
  <c r="C205" i="5"/>
  <c r="C216" i="5"/>
  <c r="C142" i="5"/>
  <c r="C174" i="5"/>
  <c r="C185" i="5"/>
  <c r="C206" i="5"/>
  <c r="C122" i="5"/>
  <c r="C133" i="5"/>
  <c r="C144" i="5"/>
  <c r="C154" i="5"/>
  <c r="C165" i="5"/>
  <c r="C176" i="5"/>
  <c r="C186" i="5"/>
  <c r="C197" i="5"/>
  <c r="C208" i="5"/>
  <c r="C146" i="5"/>
  <c r="C178" i="5"/>
  <c r="C200" i="5"/>
  <c r="C124" i="5"/>
  <c r="C134" i="5"/>
  <c r="C145" i="5"/>
  <c r="C156" i="5"/>
  <c r="C166" i="5"/>
  <c r="C177" i="5"/>
  <c r="C188" i="5"/>
  <c r="C198" i="5"/>
  <c r="C209" i="5"/>
  <c r="C125" i="5"/>
  <c r="C136" i="5"/>
  <c r="C157" i="5"/>
  <c r="C168" i="5"/>
  <c r="C189" i="5"/>
  <c r="C210" i="5"/>
  <c r="C116" i="5"/>
  <c r="C126" i="5"/>
  <c r="C137" i="5"/>
  <c r="C148" i="5"/>
  <c r="C158" i="5"/>
  <c r="C169" i="5"/>
  <c r="C180" i="5"/>
  <c r="C190" i="5"/>
  <c r="C201" i="5"/>
  <c r="C212" i="5"/>
  <c r="C117" i="5"/>
  <c r="C128" i="5"/>
  <c r="C138" i="5"/>
  <c r="C149" i="5"/>
  <c r="C160" i="5"/>
  <c r="C170" i="5"/>
  <c r="C181" i="5"/>
  <c r="C192" i="5"/>
  <c r="C202" i="5"/>
  <c r="C213" i="5"/>
  <c r="C121" i="5"/>
  <c r="C132" i="5"/>
  <c r="C153" i="5"/>
  <c r="C164" i="5"/>
  <c r="C196" i="5"/>
  <c r="C217" i="5"/>
  <c r="D122" i="5"/>
  <c r="D130" i="5"/>
  <c r="D138" i="5"/>
  <c r="D146" i="5"/>
  <c r="D154" i="5"/>
  <c r="D162" i="5"/>
  <c r="D170" i="5"/>
  <c r="D178" i="5"/>
  <c r="D186" i="5"/>
  <c r="D194" i="5"/>
  <c r="D202" i="5"/>
  <c r="D210" i="5"/>
  <c r="D118" i="5"/>
  <c r="D127" i="5"/>
  <c r="D136" i="5"/>
  <c r="D145" i="5"/>
  <c r="D155" i="5"/>
  <c r="D164" i="5"/>
  <c r="D173" i="5"/>
  <c r="D182" i="5"/>
  <c r="D191" i="5"/>
  <c r="D200" i="5"/>
  <c r="D209" i="5"/>
  <c r="D119" i="5"/>
  <c r="D129" i="5"/>
  <c r="D140" i="5"/>
  <c r="D150" i="5"/>
  <c r="D160" i="5"/>
  <c r="D171" i="5"/>
  <c r="D181" i="5"/>
  <c r="D192" i="5"/>
  <c r="D203" i="5"/>
  <c r="D213" i="5"/>
  <c r="D124" i="5"/>
  <c r="D134" i="5"/>
  <c r="D144" i="5"/>
  <c r="D156" i="5"/>
  <c r="D125" i="5"/>
  <c r="D139" i="5"/>
  <c r="D152" i="5"/>
  <c r="D166" i="5"/>
  <c r="D177" i="5"/>
  <c r="D189" i="5"/>
  <c r="D201" i="5"/>
  <c r="D214" i="5"/>
  <c r="D116" i="5"/>
  <c r="D131" i="5"/>
  <c r="D143" i="5"/>
  <c r="D158" i="5"/>
  <c r="D169" i="5"/>
  <c r="D183" i="5"/>
  <c r="D195" i="5"/>
  <c r="D206" i="5"/>
  <c r="D217" i="5"/>
  <c r="D117" i="5"/>
  <c r="D132" i="5"/>
  <c r="D147" i="5"/>
  <c r="D159" i="5"/>
  <c r="D172" i="5"/>
  <c r="D184" i="5"/>
  <c r="D196" i="5"/>
  <c r="D207" i="5"/>
  <c r="D123" i="5"/>
  <c r="D137" i="5"/>
  <c r="D151" i="5"/>
  <c r="D165" i="5"/>
  <c r="D176" i="5"/>
  <c r="D188" i="5"/>
  <c r="D199" i="5"/>
  <c r="D212" i="5"/>
  <c r="D142" i="5"/>
  <c r="D168" i="5"/>
  <c r="D193" i="5"/>
  <c r="D216" i="5"/>
  <c r="D120" i="5"/>
  <c r="D148" i="5"/>
  <c r="D174" i="5"/>
  <c r="D197" i="5"/>
  <c r="D149" i="5"/>
  <c r="D198" i="5"/>
  <c r="D126" i="5"/>
  <c r="D153" i="5"/>
  <c r="D179" i="5"/>
  <c r="D204" i="5"/>
  <c r="D128" i="5"/>
  <c r="D157" i="5"/>
  <c r="D180" i="5"/>
  <c r="D205" i="5"/>
  <c r="D133" i="5"/>
  <c r="D161" i="5"/>
  <c r="D185" i="5"/>
  <c r="D208" i="5"/>
  <c r="D135" i="5"/>
  <c r="D163" i="5"/>
  <c r="D187" i="5"/>
  <c r="D211" i="5"/>
  <c r="D141" i="5"/>
  <c r="D167" i="5"/>
  <c r="D190" i="5"/>
  <c r="D215" i="5"/>
  <c r="D121" i="5"/>
  <c r="D175" i="5"/>
  <c r="E123" i="5"/>
  <c r="E131" i="5"/>
  <c r="E139" i="5"/>
  <c r="E147" i="5"/>
  <c r="E155" i="5"/>
  <c r="E163" i="5"/>
  <c r="E171" i="5"/>
  <c r="E179" i="5"/>
  <c r="E187" i="5"/>
  <c r="E195" i="5"/>
  <c r="E203" i="5"/>
  <c r="E211" i="5"/>
  <c r="E119" i="5"/>
  <c r="E128" i="5"/>
  <c r="E137" i="5"/>
  <c r="E146" i="5"/>
  <c r="E156" i="5"/>
  <c r="E165" i="5"/>
  <c r="E174" i="5"/>
  <c r="E183" i="5"/>
  <c r="E192" i="5"/>
  <c r="E201" i="5"/>
  <c r="E210" i="5"/>
  <c r="E125" i="5"/>
  <c r="E118" i="5"/>
  <c r="E129" i="5"/>
  <c r="E140" i="5"/>
  <c r="E150" i="5"/>
  <c r="E160" i="5"/>
  <c r="E170" i="5"/>
  <c r="E181" i="5"/>
  <c r="E191" i="5"/>
  <c r="E202" i="5"/>
  <c r="E213" i="5"/>
  <c r="E121" i="5"/>
  <c r="E132" i="5"/>
  <c r="E142" i="5"/>
  <c r="E152" i="5"/>
  <c r="E162" i="5"/>
  <c r="E173" i="5"/>
  <c r="E184" i="5"/>
  <c r="E194" i="5"/>
  <c r="E205" i="5"/>
  <c r="E215" i="5"/>
  <c r="E120" i="5"/>
  <c r="E135" i="5"/>
  <c r="E149" i="5"/>
  <c r="E164" i="5"/>
  <c r="E177" i="5"/>
  <c r="E190" i="5"/>
  <c r="E206" i="5"/>
  <c r="E127" i="5"/>
  <c r="E143" i="5"/>
  <c r="E157" i="5"/>
  <c r="E169" i="5"/>
  <c r="E185" i="5"/>
  <c r="E198" i="5"/>
  <c r="E212" i="5"/>
  <c r="E126" i="5"/>
  <c r="E145" i="5"/>
  <c r="E166" i="5"/>
  <c r="E182" i="5"/>
  <c r="E200" i="5"/>
  <c r="E134" i="5"/>
  <c r="E153" i="5"/>
  <c r="E172" i="5"/>
  <c r="E189" i="5"/>
  <c r="E208" i="5"/>
  <c r="E116" i="5"/>
  <c r="E136" i="5"/>
  <c r="E154" i="5"/>
  <c r="E175" i="5"/>
  <c r="E193" i="5"/>
  <c r="E209" i="5"/>
  <c r="E117" i="5"/>
  <c r="E138" i="5"/>
  <c r="E158" i="5"/>
  <c r="E196" i="5"/>
  <c r="E214" i="5"/>
  <c r="E124" i="5"/>
  <c r="E144" i="5"/>
  <c r="E161" i="5"/>
  <c r="E180" i="5"/>
  <c r="E199" i="5"/>
  <c r="E217" i="5"/>
  <c r="E141" i="5"/>
  <c r="E186" i="5"/>
  <c r="E148" i="5"/>
  <c r="E188" i="5"/>
  <c r="E151" i="5"/>
  <c r="E197" i="5"/>
  <c r="E159" i="5"/>
  <c r="E204" i="5"/>
  <c r="E167" i="5"/>
  <c r="E207" i="5"/>
  <c r="E122" i="5"/>
  <c r="E168" i="5"/>
  <c r="E216" i="5"/>
  <c r="E130" i="5"/>
  <c r="E176" i="5"/>
  <c r="E133" i="5"/>
  <c r="E178" i="5"/>
</calcChain>
</file>

<file path=xl/sharedStrings.xml><?xml version="1.0" encoding="utf-8"?>
<sst xmlns="http://schemas.openxmlformats.org/spreadsheetml/2006/main" count="121" uniqueCount="96">
  <si>
    <t>№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</si>
  <si>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</si>
  <si>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</si>
  <si>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</si>
  <si>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</si>
  <si>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</si>
  <si>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</si>
  <si>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</si>
  <si>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</si>
  <si>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</si>
  <si>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</si>
  <si>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Название риска</t>
  </si>
  <si>
    <t>Риск-среднее</t>
  </si>
  <si>
    <t>Вероятность</t>
  </si>
  <si>
    <t>Ущерб</t>
  </si>
  <si>
    <t>Идентификатор квадранта</t>
  </si>
  <si>
    <t>x</t>
  </si>
  <si>
    <t>y</t>
  </si>
  <si>
    <t>Impact</t>
  </si>
  <si>
    <t>Risk 1</t>
  </si>
  <si>
    <t>Risk 2</t>
  </si>
  <si>
    <t>Risk 3</t>
  </si>
  <si>
    <t>Risk 4</t>
  </si>
  <si>
    <t>Risk 5</t>
  </si>
  <si>
    <t>Risk 6</t>
  </si>
  <si>
    <t>Risk 7</t>
  </si>
  <si>
    <t>Risk 8</t>
  </si>
  <si>
    <t>Risk 9</t>
  </si>
  <si>
    <t>Risk 10</t>
  </si>
  <si>
    <t>Generated with the SIPmath™ Modeler Tools from ProbabilityManagement.org</t>
  </si>
  <si>
    <t>Index</t>
  </si>
  <si>
    <t>Values</t>
  </si>
  <si>
    <t>Expected Value</t>
  </si>
  <si>
    <t>Series Name</t>
  </si>
  <si>
    <t>Integer chart?</t>
  </si>
  <si>
    <t>Loss Exceedance</t>
  </si>
  <si>
    <t>Number of Bins</t>
  </si>
  <si>
    <t>Label position</t>
  </si>
  <si>
    <t>Bin Width</t>
  </si>
  <si>
    <t>Decimals</t>
  </si>
  <si>
    <t>Scale</t>
  </si>
  <si>
    <t>Use Axis Title?</t>
  </si>
  <si>
    <t>Axis Title</t>
  </si>
  <si>
    <t>Min</t>
  </si>
  <si>
    <t>Bin Range</t>
  </si>
  <si>
    <t>Frequency</t>
  </si>
  <si>
    <t>Labels</t>
  </si>
  <si>
    <t>Cumulative</t>
  </si>
  <si>
    <t>Var ID 0/1</t>
  </si>
  <si>
    <t>Var ID Triang</t>
  </si>
  <si>
    <t>HDR 0/1</t>
  </si>
  <si>
    <t>HDR Triang</t>
  </si>
  <si>
    <t>It Happened</t>
  </si>
  <si>
    <t>Risk_10</t>
  </si>
  <si>
    <t>Risk_9</t>
  </si>
  <si>
    <t>Risk_8</t>
  </si>
  <si>
    <t>Risk_7</t>
  </si>
  <si>
    <t>Risk_6</t>
  </si>
  <si>
    <t>Risk_5</t>
  </si>
  <si>
    <t>Risk_4</t>
  </si>
  <si>
    <t>Risk_3</t>
  </si>
  <si>
    <t>Risk_2</t>
  </si>
  <si>
    <t>Risk_1</t>
  </si>
  <si>
    <t>Total</t>
  </si>
  <si>
    <t>Шкала вероятности</t>
  </si>
  <si>
    <t>Шкала ущерба</t>
  </si>
  <si>
    <t>&gt;</t>
  </si>
  <si>
    <t>&lt;</t>
  </si>
  <si>
    <t>Размер ущерба</t>
  </si>
  <si>
    <t>Моделирование</t>
  </si>
  <si>
    <t>Среднее значение</t>
  </si>
  <si>
    <t>Лимит для риска</t>
  </si>
  <si>
    <t>Персентиль</t>
  </si>
  <si>
    <t>Вероятность превышения лимита</t>
  </si>
  <si>
    <t>Техническая неисправность оборудования</t>
  </si>
  <si>
    <t>Уход ключевого персонала</t>
  </si>
  <si>
    <t>Недостижение показателей по привлечению средств установленный в срок</t>
  </si>
  <si>
    <t>Краткое описание модели количественной оценки рисков</t>
  </si>
  <si>
    <t>Ячейки для ввода данных</t>
  </si>
  <si>
    <t>Риски по степени влияния</t>
  </si>
  <si>
    <t>техническая ячейка</t>
  </si>
  <si>
    <t xml:space="preserve">описание риска, возможно добавить описание причин и последствий </t>
  </si>
  <si>
    <t xml:space="preserve">экспертная оценка вероятности наступления рискового события в заданный период, обычно 1 год или горизонт проекта или планирования </t>
  </si>
  <si>
    <t>Минимальный</t>
  </si>
  <si>
    <t xml:space="preserve">Ожидаемый </t>
  </si>
  <si>
    <t>Максимальный</t>
  </si>
  <si>
    <t>номер риска для графиков</t>
  </si>
  <si>
    <t>наиболее вероятный ушерб в случае реализации риска</t>
  </si>
  <si>
    <t xml:space="preserve">Шаблон реестра рисков с использованием имитационного моделирования </t>
  </si>
  <si>
    <t>результаты имитационного моделирования, распределение. Вероятность моделируется с помощью распределения бернули, ушерб с помощью треугольного</t>
  </si>
  <si>
    <t xml:space="preserve">среднее значение ущерба по результатам моделирования </t>
  </si>
  <si>
    <t>уровень толерантности к каждому риску</t>
  </si>
  <si>
    <t>значение, не выше которого будет ущерб от риска в ХХ% случаев. ХХ% устанавливается выше. 1-ХХ% вероятность, что ущерб будет больше</t>
  </si>
  <si>
    <t xml:space="preserve">Вероятность того, что ушерб от риска будет выше уровня толератности данного риска </t>
  </si>
  <si>
    <t>минимальная граница ущерба</t>
  </si>
  <si>
    <t>максимальная граница ущерба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</si>
</sst>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6"/>
      <color theme="0"/>
      <name val="Calibri"/>
      <family val="2"/>
      <scheme val="minor"/>
    </font>
    <font>
      <sz val="22"/>
      <color theme="0"/>
      <name val="Arial"/>
      <family val="2"/>
      <charset val="204"/>
    </font>
    <font>
      <sz val="11"/>
      <color theme="0"/>
      <name val="Arial"/>
      <family val="2"/>
      <charset val="204"/>
    </font>
    <font>
      <sz val="12"/>
      <color theme="0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22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6"/>
      <color theme="0" tint="-0.499984740745262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109">
    <xf numFmtId="0" fontId="0" fillId="0" borderId="0" xfId="0"/>
    <xf numFmtId="0" fontId="0" fillId="2" borderId="0" xfId="0" applyFill="1"/>
    <xf numFmtId="0" fontId="2" fillId="0" borderId="3" xfId="0" applyFont="1" applyBorder="1" applyAlignment="1">
      <alignment horizontal="center" vertical="center" wrapText="1" readingOrder="1"/>
    </xf>
    <xf numFmtId="4" fontId="2" fillId="0" borderId="3" xfId="0" applyNumberFormat="1" applyFont="1" applyBorder="1" applyAlignment="1">
      <alignment horizontal="center" vertical="center" wrapText="1" readingOrder="1"/>
    </xf>
    <xf numFmtId="4" fontId="0" fillId="2" borderId="0" xfId="0" applyNumberFormat="1" applyFill="1"/>
    <xf numFmtId="4" fontId="0" fillId="2" borderId="0" xfId="0" applyNumberFormat="1" applyFill="1" applyAlignment="1">
      <alignment vertical="center"/>
    </xf>
    <xf numFmtId="2" fontId="0" fillId="2" borderId="0" xfId="0" applyNumberFormat="1" applyFill="1" applyAlignment="1">
      <alignment vertical="center"/>
    </xf>
    <xf numFmtId="4" fontId="2" fillId="0" borderId="2" xfId="0" applyNumberFormat="1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left" vertical="center" wrapText="1" readingOrder="1"/>
    </xf>
    <xf numFmtId="4" fontId="2" fillId="0" borderId="6" xfId="0" applyNumberFormat="1" applyFont="1" applyBorder="1" applyAlignment="1">
      <alignment horizontal="center" vertical="center" wrapText="1" readingOrder="1"/>
    </xf>
    <xf numFmtId="0" fontId="0" fillId="2" borderId="6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 readingOrder="1"/>
    </xf>
    <xf numFmtId="0" fontId="4" fillId="2" borderId="0" xfId="0" applyFont="1" applyFill="1"/>
    <xf numFmtId="3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7" xfId="0" applyFont="1" applyBorder="1" applyAlignment="1">
      <alignment horizontal="center" vertical="center" wrapText="1" readingOrder="1"/>
    </xf>
    <xf numFmtId="4" fontId="2" fillId="0" borderId="7" xfId="0" applyNumberFormat="1" applyFont="1" applyBorder="1" applyAlignment="1">
      <alignment horizontal="center" vertical="center" wrapText="1" readingOrder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2" borderId="0" xfId="0" applyFill="1" applyAlignment="1">
      <alignment horizontal="center" vertical="center"/>
    </xf>
    <xf numFmtId="0" fontId="0" fillId="0" borderId="9" xfId="0" applyBorder="1"/>
    <xf numFmtId="2" fontId="0" fillId="0" borderId="10" xfId="0" applyNumberFormat="1" applyBorder="1"/>
    <xf numFmtId="2" fontId="0" fillId="0" borderId="11" xfId="0" applyNumberFormat="1" applyBorder="1"/>
    <xf numFmtId="0" fontId="0" fillId="3" borderId="12" xfId="0" applyFill="1" applyBorder="1"/>
    <xf numFmtId="0" fontId="0" fillId="3" borderId="14" xfId="0" applyFill="1" applyBorder="1"/>
    <xf numFmtId="0" fontId="0" fillId="8" borderId="0" xfId="0" applyFill="1"/>
    <xf numFmtId="0" fontId="0" fillId="8" borderId="13" xfId="0" applyFill="1" applyBorder="1"/>
    <xf numFmtId="0" fontId="0" fillId="8" borderId="15" xfId="0" applyFill="1" applyBorder="1"/>
    <xf numFmtId="0" fontId="0" fillId="8" borderId="16" xfId="0" applyFill="1" applyBorder="1"/>
    <xf numFmtId="0" fontId="0" fillId="0" borderId="6" xfId="0" applyBorder="1"/>
    <xf numFmtId="4" fontId="2" fillId="0" borderId="18" xfId="0" applyNumberFormat="1" applyFont="1" applyBorder="1" applyAlignment="1">
      <alignment horizontal="center" vertical="center" wrapText="1" readingOrder="1"/>
    </xf>
    <xf numFmtId="9" fontId="2" fillId="0" borderId="6" xfId="2" applyFont="1" applyFill="1" applyBorder="1" applyAlignment="1">
      <alignment horizontal="center" vertical="center" wrapText="1" readingOrder="1"/>
    </xf>
    <xf numFmtId="9" fontId="2" fillId="0" borderId="0" xfId="2" applyFont="1" applyFill="1" applyBorder="1" applyAlignment="1">
      <alignment horizontal="center" vertical="center" wrapText="1" readingOrder="1"/>
    </xf>
    <xf numFmtId="4" fontId="7" fillId="2" borderId="6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wrapText="1"/>
    </xf>
    <xf numFmtId="1" fontId="9" fillId="2" borderId="0" xfId="0" applyNumberFormat="1" applyFont="1" applyFill="1" applyAlignment="1">
      <alignment wrapText="1"/>
    </xf>
    <xf numFmtId="0" fontId="10" fillId="2" borderId="0" xfId="1" applyFont="1" applyFill="1"/>
    <xf numFmtId="0" fontId="11" fillId="2" borderId="0" xfId="1" applyFont="1" applyFill="1"/>
    <xf numFmtId="0" fontId="12" fillId="2" borderId="0" xfId="1" applyFont="1" applyFill="1"/>
    <xf numFmtId="1" fontId="12" fillId="2" borderId="0" xfId="1" applyNumberFormat="1" applyFont="1" applyFill="1"/>
    <xf numFmtId="164" fontId="12" fillId="2" borderId="0" xfId="1" applyNumberFormat="1" applyFont="1" applyFill="1"/>
    <xf numFmtId="3" fontId="10" fillId="2" borderId="0" xfId="1" applyNumberFormat="1" applyFont="1" applyFill="1"/>
    <xf numFmtId="0" fontId="8" fillId="2" borderId="2" xfId="0" applyFont="1" applyFill="1" applyBorder="1" applyAlignment="1">
      <alignment horizontal="left" vertical="center" wrapText="1" readingOrder="1"/>
    </xf>
    <xf numFmtId="0" fontId="11" fillId="2" borderId="0" xfId="1" applyFont="1" applyFill="1" applyAlignment="1">
      <alignment horizontal="center" vertical="center"/>
    </xf>
    <xf numFmtId="0" fontId="14" fillId="2" borderId="0" xfId="0" applyFont="1" applyFill="1"/>
    <xf numFmtId="0" fontId="13" fillId="2" borderId="6" xfId="0" applyFont="1" applyFill="1" applyBorder="1"/>
    <xf numFmtId="0" fontId="14" fillId="2" borderId="6" xfId="0" applyFont="1" applyFill="1" applyBorder="1" applyAlignment="1">
      <alignment vertical="center"/>
    </xf>
    <xf numFmtId="0" fontId="15" fillId="2" borderId="0" xfId="0" applyFont="1" applyFill="1"/>
    <xf numFmtId="0" fontId="14" fillId="2" borderId="6" xfId="0" applyFont="1" applyFill="1" applyBorder="1" applyAlignment="1">
      <alignment horizontal="right" vertical="center"/>
    </xf>
    <xf numFmtId="0" fontId="14" fillId="2" borderId="6" xfId="0" applyFont="1" applyFill="1" applyBorder="1" applyAlignment="1">
      <alignment horizontal="left" vertical="center"/>
    </xf>
    <xf numFmtId="9" fontId="13" fillId="2" borderId="6" xfId="2" applyFont="1" applyFill="1" applyBorder="1"/>
    <xf numFmtId="0" fontId="1" fillId="0" borderId="19" xfId="0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left" vertical="center" wrapText="1" readingOrder="1"/>
    </xf>
    <xf numFmtId="4" fontId="2" fillId="0" borderId="21" xfId="0" applyNumberFormat="1" applyFont="1" applyBorder="1" applyAlignment="1">
      <alignment horizontal="center" vertical="center" wrapText="1" readingOrder="1"/>
    </xf>
    <xf numFmtId="9" fontId="2" fillId="0" borderId="19" xfId="2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left" vertical="center" wrapText="1" readingOrder="1"/>
    </xf>
    <xf numFmtId="9" fontId="8" fillId="0" borderId="0" xfId="0" applyNumberFormat="1" applyFont="1" applyAlignment="1">
      <alignment horizontal="center" vertical="center" wrapText="1" readingOrder="1"/>
    </xf>
    <xf numFmtId="4" fontId="8" fillId="0" borderId="0" xfId="0" applyNumberFormat="1" applyFont="1" applyAlignment="1">
      <alignment horizontal="center" vertical="center" wrapText="1" readingOrder="1"/>
    </xf>
    <xf numFmtId="4" fontId="4" fillId="2" borderId="0" xfId="0" applyNumberFormat="1" applyFont="1" applyFill="1"/>
    <xf numFmtId="0" fontId="16" fillId="9" borderId="0" xfId="0" applyFont="1" applyFill="1" applyAlignment="1">
      <alignment horizontal="left"/>
    </xf>
    <xf numFmtId="0" fontId="17" fillId="9" borderId="0" xfId="0" applyFont="1" applyFill="1" applyAlignment="1">
      <alignment horizontal="left"/>
    </xf>
    <xf numFmtId="0" fontId="15" fillId="0" borderId="0" xfId="0" applyFont="1"/>
    <xf numFmtId="0" fontId="4" fillId="0" borderId="0" xfId="0" applyFont="1"/>
    <xf numFmtId="0" fontId="0" fillId="9" borderId="0" xfId="0" applyFill="1"/>
    <xf numFmtId="1" fontId="18" fillId="2" borderId="6" xfId="0" applyNumberFormat="1" applyFont="1" applyFill="1" applyBorder="1" applyAlignment="1">
      <alignment horizontal="center" vertical="center"/>
    </xf>
    <xf numFmtId="1" fontId="18" fillId="2" borderId="19" xfId="0" applyNumberFormat="1" applyFont="1" applyFill="1" applyBorder="1" applyAlignment="1">
      <alignment horizontal="center" vertical="center"/>
    </xf>
    <xf numFmtId="2" fontId="7" fillId="2" borderId="20" xfId="0" applyNumberFormat="1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9" fontId="2" fillId="10" borderId="6" xfId="0" applyNumberFormat="1" applyFont="1" applyFill="1" applyBorder="1" applyAlignment="1">
      <alignment horizontal="center" vertical="center" wrapText="1" readingOrder="1"/>
    </xf>
    <xf numFmtId="9" fontId="2" fillId="10" borderId="19" xfId="0" applyNumberFormat="1" applyFont="1" applyFill="1" applyBorder="1" applyAlignment="1">
      <alignment horizontal="center" vertical="center" wrapText="1" readingOrder="1"/>
    </xf>
    <xf numFmtId="4" fontId="2" fillId="10" borderId="6" xfId="0" applyNumberFormat="1" applyFont="1" applyFill="1" applyBorder="1" applyAlignment="1">
      <alignment horizontal="center" vertical="center" wrapText="1" readingOrder="1"/>
    </xf>
    <xf numFmtId="4" fontId="18" fillId="10" borderId="17" xfId="0" applyNumberFormat="1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19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15" fillId="10" borderId="0" xfId="0" applyFont="1" applyFill="1"/>
    <xf numFmtId="0" fontId="4" fillId="10" borderId="0" xfId="0" applyFont="1" applyFill="1"/>
    <xf numFmtId="9" fontId="13" fillId="10" borderId="6" xfId="2" applyFont="1" applyFill="1" applyBorder="1"/>
    <xf numFmtId="0" fontId="13" fillId="10" borderId="6" xfId="0" applyFont="1" applyFill="1" applyBorder="1"/>
    <xf numFmtId="0" fontId="2" fillId="0" borderId="22" xfId="0" applyFont="1" applyBorder="1" applyAlignment="1">
      <alignment horizontal="center" vertical="center" wrapText="1" readingOrder="1"/>
    </xf>
    <xf numFmtId="0" fontId="2" fillId="0" borderId="22" xfId="0" applyFont="1" applyBorder="1" applyAlignment="1">
      <alignment horizontal="left" vertical="center" wrapText="1" readingOrder="1"/>
    </xf>
    <xf numFmtId="9" fontId="2" fillId="10" borderId="22" xfId="0" applyNumberFormat="1" applyFont="1" applyFill="1" applyBorder="1" applyAlignment="1">
      <alignment horizontal="center" vertical="center" wrapText="1" readingOrder="1"/>
    </xf>
    <xf numFmtId="4" fontId="2" fillId="10" borderId="22" xfId="0" applyNumberFormat="1" applyFont="1" applyFill="1" applyBorder="1" applyAlignment="1">
      <alignment horizontal="center" vertical="center" wrapText="1" readingOrder="1"/>
    </xf>
    <xf numFmtId="4" fontId="18" fillId="10" borderId="23" xfId="0" applyNumberFormat="1" applyFont="1" applyFill="1" applyBorder="1" applyAlignment="1">
      <alignment horizontal="center" vertical="center"/>
    </xf>
    <xf numFmtId="2" fontId="7" fillId="2" borderId="24" xfId="0" applyNumberFormat="1" applyFont="1" applyFill="1" applyBorder="1" applyAlignment="1">
      <alignment horizontal="center" vertical="center"/>
    </xf>
    <xf numFmtId="4" fontId="2" fillId="0" borderId="25" xfId="0" applyNumberFormat="1" applyFont="1" applyBorder="1" applyAlignment="1">
      <alignment horizontal="center" vertical="center" wrapText="1" readingOrder="1"/>
    </xf>
    <xf numFmtId="0" fontId="18" fillId="10" borderId="22" xfId="0" applyFont="1" applyFill="1" applyBorder="1" applyAlignment="1">
      <alignment horizontal="center" vertical="center"/>
    </xf>
    <xf numFmtId="1" fontId="18" fillId="2" borderId="22" xfId="0" applyNumberFormat="1" applyFont="1" applyFill="1" applyBorder="1" applyAlignment="1">
      <alignment horizontal="center" vertical="center"/>
    </xf>
    <xf numFmtId="9" fontId="2" fillId="0" borderId="22" xfId="2" applyFont="1" applyFill="1" applyBorder="1" applyAlignment="1">
      <alignment horizontal="center" vertical="center" wrapText="1" readingOrder="1"/>
    </xf>
    <xf numFmtId="9" fontId="1" fillId="10" borderId="6" xfId="0" applyNumberFormat="1" applyFont="1" applyFill="1" applyBorder="1" applyAlignment="1">
      <alignment horizontal="center" vertical="center" wrapText="1" readingOrder="1"/>
    </xf>
    <xf numFmtId="0" fontId="19" fillId="11" borderId="6" xfId="0" applyFont="1" applyFill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5" fillId="0" borderId="8" xfId="0" applyFont="1" applyBorder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</cellXfs>
  <cellStyles count="3">
    <cellStyle name="Normal 4" xfId="1" xr:uid="{00000000-0005-0000-0000-000000000000}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157300543680783E-2"/>
          <c:y val="7.1927762939301088E-2"/>
          <c:w val="0.89964934737955138"/>
          <c:h val="0.84992090498661155"/>
        </c:manualLayout>
      </c:layout>
      <c:bubbleChart>
        <c:varyColors val="0"/>
        <c:ser>
          <c:idx val="0"/>
          <c:order val="0"/>
          <c:tx>
            <c:strRef>
              <c:f>Графики!$C$17</c:f>
              <c:strCache>
                <c:ptCount val="1"/>
                <c:pt idx="0">
                  <c:v>R1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Графики!$J$17</c:f>
              <c:numCache>
                <c:formatCode>0.0</c:formatCode>
                <c:ptCount val="1"/>
                <c:pt idx="0">
                  <c:v>4.5</c:v>
                </c:pt>
              </c:numCache>
            </c:numRef>
          </c:xVal>
          <c:yVal>
            <c:numRef>
              <c:f>Графики!$K$17</c:f>
              <c:numCache>
                <c:formatCode>0.0</c:formatCode>
                <c:ptCount val="1"/>
                <c:pt idx="0">
                  <c:v>1.5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AC27-4589-81A5-F3213CDD37AE}"/>
            </c:ext>
          </c:extLst>
        </c:ser>
        <c:ser>
          <c:idx val="1"/>
          <c:order val="1"/>
          <c:tx>
            <c:strRef>
              <c:f>Графики!$C$18</c:f>
              <c:strCache>
                <c:ptCount val="1"/>
                <c:pt idx="0">
                  <c:v>R2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Графики!$J$18</c:f>
              <c:numCache>
                <c:formatCode>0.0</c:formatCode>
                <c:ptCount val="1"/>
                <c:pt idx="0">
                  <c:v>4.5</c:v>
                </c:pt>
              </c:numCache>
            </c:numRef>
          </c:xVal>
          <c:yVal>
            <c:numRef>
              <c:f>Графики!$K$18</c:f>
              <c:numCache>
                <c:formatCode>0.0</c:formatCode>
                <c:ptCount val="1"/>
                <c:pt idx="0">
                  <c:v>2.5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1-AC27-4589-81A5-F3213CDD37AE}"/>
            </c:ext>
          </c:extLst>
        </c:ser>
        <c:ser>
          <c:idx val="2"/>
          <c:order val="2"/>
          <c:tx>
            <c:strRef>
              <c:f>Графики!$C$19</c:f>
              <c:strCache>
                <c:ptCount val="1"/>
                <c:pt idx="0">
                  <c:v>R3</c:v>
                </c:pt>
              </c:strCache>
            </c:strRef>
          </c:tx>
          <c:spPr>
            <a:solidFill>
              <a:schemeClr val="accent3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Графики!$J$19</c:f>
              <c:numCache>
                <c:formatCode>0.0</c:formatCode>
                <c:ptCount val="1"/>
                <c:pt idx="0">
                  <c:v>3.5</c:v>
                </c:pt>
              </c:numCache>
            </c:numRef>
          </c:xVal>
          <c:yVal>
            <c:numRef>
              <c:f>Графики!$K$19</c:f>
              <c:numCache>
                <c:formatCode>0.0</c:formatCode>
                <c:ptCount val="1"/>
                <c:pt idx="0">
                  <c:v>3.5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2-AC27-4589-81A5-F3213CDD37AE}"/>
            </c:ext>
          </c:extLst>
        </c:ser>
        <c:ser>
          <c:idx val="3"/>
          <c:order val="3"/>
          <c:tx>
            <c:strRef>
              <c:f>Графики!$C$20</c:f>
              <c:strCache>
                <c:ptCount val="1"/>
                <c:pt idx="0">
                  <c:v>R4</c:v>
                </c:pt>
              </c:strCache>
            </c:strRef>
          </c:tx>
          <c:spPr>
            <a:solidFill>
              <a:schemeClr val="accent4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Графики!$J$20</c:f>
              <c:numCache>
                <c:formatCode>0.0</c:formatCode>
                <c:ptCount val="1"/>
                <c:pt idx="0">
                  <c:v>0.2</c:v>
                </c:pt>
              </c:numCache>
            </c:numRef>
          </c:xVal>
          <c:yVal>
            <c:numRef>
              <c:f>Графики!$K$20</c:f>
              <c:numCache>
                <c:formatCode>0.0</c:formatCode>
                <c:ptCount val="1"/>
                <c:pt idx="0">
                  <c:v>1.5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3-AC27-4589-81A5-F3213CDD37AE}"/>
            </c:ext>
          </c:extLst>
        </c:ser>
        <c:ser>
          <c:idx val="4"/>
          <c:order val="4"/>
          <c:tx>
            <c:strRef>
              <c:f>Графики!$C$21</c:f>
              <c:strCache>
                <c:ptCount val="1"/>
                <c:pt idx="0">
                  <c:v>R5</c:v>
                </c:pt>
              </c:strCache>
            </c:strRef>
          </c:tx>
          <c:spPr>
            <a:solidFill>
              <a:schemeClr val="accent5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Графики!$J$21</c:f>
              <c:numCache>
                <c:formatCode>0.0</c:formatCode>
                <c:ptCount val="1"/>
                <c:pt idx="0">
                  <c:v>0.4</c:v>
                </c:pt>
              </c:numCache>
            </c:numRef>
          </c:xVal>
          <c:yVal>
            <c:numRef>
              <c:f>Графики!$K$21</c:f>
              <c:numCache>
                <c:formatCode>0.0</c:formatCode>
                <c:ptCount val="1"/>
                <c:pt idx="0">
                  <c:v>1.5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4-AC27-4589-81A5-F3213CDD37AE}"/>
            </c:ext>
          </c:extLst>
        </c:ser>
        <c:ser>
          <c:idx val="5"/>
          <c:order val="5"/>
          <c:tx>
            <c:strRef>
              <c:f>Графики!$C$22</c:f>
              <c:strCache>
                <c:ptCount val="1"/>
                <c:pt idx="0">
                  <c:v>R6</c:v>
                </c:pt>
              </c:strCache>
            </c:strRef>
          </c:tx>
          <c:spPr>
            <a:solidFill>
              <a:schemeClr val="accent6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Графики!$J$22</c:f>
              <c:numCache>
                <c:formatCode>0.0</c:formatCode>
                <c:ptCount val="1"/>
                <c:pt idx="0">
                  <c:v>1.3333333333333333</c:v>
                </c:pt>
              </c:numCache>
            </c:numRef>
          </c:xVal>
          <c:yVal>
            <c:numRef>
              <c:f>Графики!$K$22</c:f>
              <c:numCache>
                <c:formatCode>0.0</c:formatCode>
                <c:ptCount val="1"/>
                <c:pt idx="0">
                  <c:v>1.5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5-AC27-4589-81A5-F3213CDD37AE}"/>
            </c:ext>
          </c:extLst>
        </c:ser>
        <c:ser>
          <c:idx val="6"/>
          <c:order val="6"/>
          <c:tx>
            <c:strRef>
              <c:f>Графики!$C$23</c:f>
              <c:strCache>
                <c:ptCount val="1"/>
                <c:pt idx="0">
                  <c:v>R7</c:v>
                </c:pt>
              </c:strCache>
            </c:strRef>
          </c:tx>
          <c:spPr>
            <a:solidFill>
              <a:schemeClr val="accent1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Графики!$J$23</c:f>
              <c:numCache>
                <c:formatCode>0.0</c:formatCode>
                <c:ptCount val="1"/>
                <c:pt idx="0">
                  <c:v>2.5</c:v>
                </c:pt>
              </c:numCache>
            </c:numRef>
          </c:xVal>
          <c:yVal>
            <c:numRef>
              <c:f>Графики!$K$23</c:f>
              <c:numCache>
                <c:formatCode>0.0</c:formatCode>
                <c:ptCount val="1"/>
                <c:pt idx="0">
                  <c:v>1.5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6-AC27-4589-81A5-F3213CDD37AE}"/>
            </c:ext>
          </c:extLst>
        </c:ser>
        <c:ser>
          <c:idx val="7"/>
          <c:order val="7"/>
          <c:tx>
            <c:strRef>
              <c:f>Графики!$C$24</c:f>
              <c:strCache>
                <c:ptCount val="1"/>
                <c:pt idx="0">
                  <c:v>R8</c:v>
                </c:pt>
              </c:strCache>
            </c:strRef>
          </c:tx>
          <c:spPr>
            <a:solidFill>
              <a:schemeClr val="accent2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Графики!$J$24</c:f>
              <c:numCache>
                <c:formatCode>0.0</c:formatCode>
                <c:ptCount val="1"/>
                <c:pt idx="0">
                  <c:v>1.6666666666666665</c:v>
                </c:pt>
              </c:numCache>
            </c:numRef>
          </c:xVal>
          <c:yVal>
            <c:numRef>
              <c:f>Графики!$K$24</c:f>
              <c:numCache>
                <c:formatCode>0.0</c:formatCode>
                <c:ptCount val="1"/>
                <c:pt idx="0">
                  <c:v>1.5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7-AC27-4589-81A5-F3213CDD37AE}"/>
            </c:ext>
          </c:extLst>
        </c:ser>
        <c:ser>
          <c:idx val="8"/>
          <c:order val="8"/>
          <c:tx>
            <c:strRef>
              <c:f>Графики!$C$25</c:f>
              <c:strCache>
                <c:ptCount val="1"/>
                <c:pt idx="0">
                  <c:v>R9</c:v>
                </c:pt>
              </c:strCache>
            </c:strRef>
          </c:tx>
          <c:spPr>
            <a:solidFill>
              <a:schemeClr val="accent3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elete val="1"/>
          </c:dLbls>
          <c:xVal>
            <c:numRef>
              <c:f>Графики!$J$25</c:f>
              <c:numCache>
                <c:formatCode>0.0</c:formatCode>
                <c:ptCount val="1"/>
                <c:pt idx="0">
                  <c:v>0.60000000000000009</c:v>
                </c:pt>
              </c:numCache>
            </c:numRef>
          </c:xVal>
          <c:yVal>
            <c:numRef>
              <c:f>Графики!$K$25</c:f>
              <c:numCache>
                <c:formatCode>0.0</c:formatCode>
                <c:ptCount val="1"/>
                <c:pt idx="0">
                  <c:v>1.5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8-AC27-4589-81A5-F3213CDD37AE}"/>
            </c:ext>
          </c:extLst>
        </c:ser>
        <c:ser>
          <c:idx val="9"/>
          <c:order val="9"/>
          <c:tx>
            <c:strRef>
              <c:f>Графики!$C$26</c:f>
              <c:strCache>
                <c:ptCount val="1"/>
                <c:pt idx="0">
                  <c:v>R10</c:v>
                </c:pt>
              </c:strCache>
            </c:strRef>
          </c:tx>
          <c:spPr>
            <a:solidFill>
              <a:schemeClr val="accent4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Графики!$J$26</c:f>
              <c:numCache>
                <c:formatCode>0.0</c:formatCode>
                <c:ptCount val="1"/>
                <c:pt idx="0">
                  <c:v>0.8</c:v>
                </c:pt>
              </c:numCache>
            </c:numRef>
          </c:xVal>
          <c:yVal>
            <c:numRef>
              <c:f>Графики!$K$26</c:f>
              <c:numCache>
                <c:formatCode>0.0</c:formatCode>
                <c:ptCount val="1"/>
                <c:pt idx="0">
                  <c:v>1.5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9-AC27-4589-81A5-F3213CDD37A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30"/>
        <c:showNegBubbles val="0"/>
        <c:axId val="213593584"/>
        <c:axId val="213594144"/>
      </c:bubbleChart>
      <c:valAx>
        <c:axId val="213593584"/>
        <c:scaling>
          <c:orientation val="minMax"/>
          <c:max val="5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1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 b="1" i="1">
                    <a:solidFill>
                      <a:sysClr val="windowText" lastClr="000000"/>
                    </a:solidFill>
                  </a:rPr>
                  <a:t>Вероятность</a:t>
                </a:r>
              </a:p>
            </c:rich>
          </c:tx>
          <c:layout>
            <c:manualLayout>
              <c:xMode val="edge"/>
              <c:yMode val="edge"/>
              <c:x val="0.46025370066616622"/>
              <c:y val="0.93827052899226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crossAx val="213594144"/>
        <c:crossesAt val="0"/>
        <c:crossBetween val="midCat"/>
        <c:majorUnit val="1"/>
        <c:minorUnit val="1"/>
      </c:valAx>
      <c:valAx>
        <c:axId val="213594144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1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 b="1" i="1">
                    <a:solidFill>
                      <a:sysClr val="windowText" lastClr="000000"/>
                    </a:solidFill>
                  </a:rPr>
                  <a:t>Ущерб</a:t>
                </a:r>
              </a:p>
            </c:rich>
          </c:tx>
          <c:layout>
            <c:manualLayout>
              <c:xMode val="edge"/>
              <c:yMode val="edge"/>
              <c:x val="3.2956965218023604E-2"/>
              <c:y val="0.375411583939866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593584"/>
        <c:crossesAt val="0"/>
        <c:crossBetween val="midCat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/>
      <c:stockChart>
        <c:ser>
          <c:idx val="0"/>
          <c:order val="0"/>
          <c:tx>
            <c:strRef>
              <c:f>Риск_калькулятор!$G$3</c:f>
              <c:strCache>
                <c:ptCount val="1"/>
                <c:pt idx="0">
                  <c:v>Минимальный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alpha val="85000"/>
                </a:schemeClr>
              </a:solidFill>
              <a:ln w="9525" cap="flat">
                <a:solidFill>
                  <a:schemeClr val="tx1"/>
                </a:solidFill>
                <a:headEnd type="diamond"/>
                <a:tailEnd type="diamond"/>
              </a:ln>
              <a:effectLst/>
            </c:spPr>
          </c:marker>
          <c:dLbls>
            <c:dLbl>
              <c:idx val="2"/>
              <c:layout>
                <c:manualLayout>
                  <c:x val="-4.6983780466127764E-2"/>
                  <c:y val="4.29862503882690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C8-4E1E-A400-67F6844A29D1}"/>
                </c:ext>
              </c:extLst>
            </c:dLbl>
            <c:dLbl>
              <c:idx val="6"/>
              <c:layout>
                <c:manualLayout>
                  <c:x val="-1.7888879772290138E-2"/>
                  <c:y val="2.97874613811946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1C8-4E1E-A400-67F6844A29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Риск_калькулятор!$D$5:$D$14</c:f>
              <c:strCache>
                <c:ptCount val="10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  <c:pt idx="6">
                  <c:v>R7</c:v>
                </c:pt>
                <c:pt idx="7">
                  <c:v>R8</c:v>
                </c:pt>
                <c:pt idx="8">
                  <c:v>R9</c:v>
                </c:pt>
                <c:pt idx="9">
                  <c:v>R10</c:v>
                </c:pt>
              </c:strCache>
            </c:strRef>
          </c:cat>
          <c:val>
            <c:numRef>
              <c:f>Риск_калькулятор!$G$5:$G$14</c:f>
              <c:numCache>
                <c:formatCode>#,##0.00</c:formatCode>
                <c:ptCount val="10"/>
                <c:pt idx="0">
                  <c:v>10</c:v>
                </c:pt>
                <c:pt idx="1">
                  <c:v>50</c:v>
                </c:pt>
                <c:pt idx="2">
                  <c:v>60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AF-41F6-836F-DA590BC5234F}"/>
            </c:ext>
          </c:extLst>
        </c:ser>
        <c:ser>
          <c:idx val="1"/>
          <c:order val="1"/>
          <c:tx>
            <c:strRef>
              <c:f>Риск_калькулятор!$I$3</c:f>
              <c:strCache>
                <c:ptCount val="1"/>
                <c:pt idx="0">
                  <c:v>Максимальный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Риск_калькулятор!$D$5:$D$14</c:f>
              <c:strCache>
                <c:ptCount val="10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  <c:pt idx="6">
                  <c:v>R7</c:v>
                </c:pt>
                <c:pt idx="7">
                  <c:v>R8</c:v>
                </c:pt>
                <c:pt idx="8">
                  <c:v>R9</c:v>
                </c:pt>
                <c:pt idx="9">
                  <c:v>R10</c:v>
                </c:pt>
              </c:strCache>
            </c:strRef>
          </c:cat>
          <c:val>
            <c:numRef>
              <c:f>Риск_калькулятор!$I$5:$I$14</c:f>
              <c:numCache>
                <c:formatCode>#,##0.00</c:formatCode>
                <c:ptCount val="10"/>
                <c:pt idx="0">
                  <c:v>70</c:v>
                </c:pt>
                <c:pt idx="1">
                  <c:v>100</c:v>
                </c:pt>
                <c:pt idx="2">
                  <c:v>150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0AF-41F6-836F-DA590BC5234F}"/>
            </c:ext>
          </c:extLst>
        </c:ser>
        <c:ser>
          <c:idx val="2"/>
          <c:order val="2"/>
          <c:tx>
            <c:strRef>
              <c:f>Риск_калькулятор!$K$2</c:f>
              <c:strCache>
                <c:ptCount val="1"/>
                <c:pt idx="0">
                  <c:v>Среднее значение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69346052454924E-2"/>
                  <c:y val="2.47259828907283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814441119913215E-2"/>
                      <c:h val="0.137467964931462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80AF-41F6-836F-DA590BC5234F}"/>
                </c:ext>
              </c:extLst>
            </c:dLbl>
            <c:dLbl>
              <c:idx val="1"/>
              <c:layout>
                <c:manualLayout>
                  <c:x val="-2.1112317816163371E-2"/>
                  <c:y val="2.667426760213443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142678535372305E-2"/>
                      <c:h val="0.119461593639489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80AF-41F6-836F-DA590BC5234F}"/>
                </c:ext>
              </c:extLst>
            </c:dLbl>
            <c:dLbl>
              <c:idx val="2"/>
              <c:layout>
                <c:manualLayout>
                  <c:x val="-1.0250462130491593E-2"/>
                  <c:y val="-2.431704325416590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668053760852937E-2"/>
                      <c:h val="9.5352955600631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80AF-41F6-836F-DA590BC5234F}"/>
                </c:ext>
              </c:extLst>
            </c:dLbl>
            <c:dLbl>
              <c:idx val="3"/>
              <c:layout>
                <c:manualLayout>
                  <c:x val="-2.3494825442142878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04432969310671"/>
                      <c:h val="0.131912122962323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1C8-4E1E-A400-67F6844A29D1}"/>
                </c:ext>
              </c:extLst>
            </c:dLbl>
            <c:dLbl>
              <c:idx val="4"/>
              <c:layout>
                <c:manualLayout>
                  <c:x val="-1.9019922637990266E-2"/>
                  <c:y val="4.985341003867107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569074506655957E-2"/>
                      <c:h val="0.115294319616099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1C8-4E1E-A400-67F6844A29D1}"/>
                </c:ext>
              </c:extLst>
            </c:dLbl>
            <c:dLbl>
              <c:idx val="5"/>
              <c:layout>
                <c:manualLayout>
                  <c:x val="-3.5803948504931092E-2"/>
                  <c:y val="-3.357405807127507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42060562536052"/>
                      <c:h val="0.115294319616099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1C8-4E1E-A400-67F6844A29D1}"/>
                </c:ext>
              </c:extLst>
            </c:dLbl>
            <c:dLbl>
              <c:idx val="6"/>
              <c:layout>
                <c:manualLayout>
                  <c:x val="-8.9444398861451089E-3"/>
                  <c:y val="-2.31680255187070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1C8-4E1E-A400-67F6844A29D1}"/>
                </c:ext>
              </c:extLst>
            </c:dLbl>
            <c:dLbl>
              <c:idx val="7"/>
              <c:layout>
                <c:manualLayout>
                  <c:x val="-2.7970411669171635E-2"/>
                  <c:y val="4.65804581016844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6054766552013214E-2"/>
                      <c:h val="7.09415333338741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1C8-4E1E-A400-67F6844A29D1}"/>
                </c:ext>
              </c:extLst>
            </c:dLbl>
            <c:dLbl>
              <c:idx val="8"/>
              <c:layout>
                <c:manualLayout>
                  <c:x val="-3.3563542700364157E-2"/>
                  <c:y val="3.6626836907145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1C8-4E1E-A400-67F6844A29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Риск_калькулятор!$D$5:$D$14</c:f>
              <c:strCache>
                <c:ptCount val="10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  <c:pt idx="6">
                  <c:v>R7</c:v>
                </c:pt>
                <c:pt idx="7">
                  <c:v>R8</c:v>
                </c:pt>
                <c:pt idx="8">
                  <c:v>R9</c:v>
                </c:pt>
                <c:pt idx="9">
                  <c:v>R10</c:v>
                </c:pt>
              </c:strCache>
            </c:strRef>
          </c:cat>
          <c:val>
            <c:numRef>
              <c:f>Риск_калькулятор!$K$5:$K$14</c:f>
              <c:numCache>
                <c:formatCode>#,##0.00</c:formatCode>
                <c:ptCount val="10"/>
                <c:pt idx="0">
                  <c:v>38.858980220844145</c:v>
                </c:pt>
                <c:pt idx="1">
                  <c:v>62.832175378772398</c:v>
                </c:pt>
                <c:pt idx="2">
                  <c:v>67.883668689846147</c:v>
                </c:pt>
                <c:pt idx="3">
                  <c:v>35.099611422931773</c:v>
                </c:pt>
                <c:pt idx="4">
                  <c:v>4.5730083392326462</c:v>
                </c:pt>
                <c:pt idx="5">
                  <c:v>10.024147316101484</c:v>
                </c:pt>
                <c:pt idx="6">
                  <c:v>18.481277512895474</c:v>
                </c:pt>
                <c:pt idx="7">
                  <c:v>8.214244930495731</c:v>
                </c:pt>
                <c:pt idx="8">
                  <c:v>35.735753069113436</c:v>
                </c:pt>
                <c:pt idx="9">
                  <c:v>4.1725150559405648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0AF-41F6-836F-DA590BC52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 cap="flat" cmpd="sng" algn="ctr">
              <a:solidFill>
                <a:schemeClr val="dk1">
                  <a:lumMod val="65000"/>
                  <a:lumOff val="35000"/>
                </a:schemeClr>
              </a:solidFill>
              <a:bevel/>
              <a:headEnd type="diamond" w="lg" len="lg"/>
              <a:tailEnd type="diamond" w="lg" len="lg"/>
            </a:ln>
            <a:effectLst/>
          </c:spPr>
        </c:hiLowLines>
        <c:axId val="1871094175"/>
        <c:axId val="1871096255"/>
      </c:stockChart>
      <c:catAx>
        <c:axId val="187109417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871096255"/>
        <c:crosses val="max"/>
        <c:auto val="1"/>
        <c:lblAlgn val="ctr"/>
        <c:lblOffset val="100"/>
        <c:noMultiLvlLbl val="0"/>
      </c:catAx>
      <c:valAx>
        <c:axId val="1871096255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ru-RU" sz="1600">
                    <a:solidFill>
                      <a:schemeClr val="tx1"/>
                    </a:solidFill>
                  </a:rPr>
                  <a:t>Ущерб</a:t>
                </a:r>
              </a:p>
            </c:rich>
          </c:tx>
          <c:layout>
            <c:manualLayout>
              <c:xMode val="edge"/>
              <c:yMode val="edge"/>
              <c:x val="1.2190836018976909E-2"/>
              <c:y val="0.42088069200195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#,##0.00" sourceLinked="1"/>
        <c:majorTickMark val="out"/>
        <c:minorTickMark val="in"/>
        <c:tickLblPos val="nextTo"/>
        <c:spPr>
          <a:noFill/>
          <a:ln>
            <a:solidFill>
              <a:schemeClr val="accent1">
                <a:lumMod val="20000"/>
                <a:lumOff val="8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871094175"/>
        <c:crosses val="autoZero"/>
        <c:crossBetween val="between"/>
      </c:valAx>
      <c:spPr>
        <a:noFill/>
        <a:ln>
          <a:solidFill>
            <a:schemeClr val="accent1">
              <a:lumMod val="20000"/>
              <a:lumOff val="80000"/>
            </a:schemeClr>
          </a:solidFill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accent1">
            <a:lumMod val="5000"/>
            <a:lumOff val="95000"/>
          </a:schemeClr>
        </a:gs>
        <a:gs pos="100000">
          <a:schemeClr val="accent1">
            <a:lumMod val="45000"/>
            <a:lumOff val="55000"/>
          </a:schemeClr>
        </a:gs>
        <a:gs pos="100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accent1">
          <a:lumMod val="20000"/>
          <a:lumOff val="80000"/>
          <a:alpha val="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473230</xdr:colOff>
      <xdr:row>3</xdr:row>
      <xdr:rowOff>133141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79516" cy="688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28153</xdr:colOff>
      <xdr:row>5</xdr:row>
      <xdr:rowOff>173180</xdr:rowOff>
    </xdr:from>
    <xdr:to>
      <xdr:col>24</xdr:col>
      <xdr:colOff>86591</xdr:colOff>
      <xdr:row>37</xdr:row>
      <xdr:rowOff>108238</xdr:rowOff>
    </xdr:to>
    <xdr:sp macro="" textlink="">
      <xdr:nvSpPr>
        <xdr:cNvPr id="3" name="TextBox 4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8153" y="1320510"/>
          <a:ext cx="14605711" cy="6169603"/>
        </a:xfrm>
        <a:prstGeom prst="rect">
          <a:avLst/>
        </a:prstGeom>
        <a:noFill/>
      </xdr:spPr>
      <xdr:txBody>
        <a:bodyPr wrap="square" rtlCol="0" anchor="t">
          <a:no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sz="1800">
              <a:latin typeface="Arial" panose="020B0604020202020204" pitchFamily="34" charset="0"/>
              <a:cs typeface="Arial" panose="020B0604020202020204" pitchFamily="34" charset="0"/>
            </a:rPr>
            <a:t>Модель количественной</a:t>
          </a:r>
          <a:r>
            <a:rPr lang="ru-RU" sz="1800" baseline="0">
              <a:latin typeface="Arial" panose="020B0604020202020204" pitchFamily="34" charset="0"/>
              <a:cs typeface="Arial" panose="020B0604020202020204" pitchFamily="34" charset="0"/>
            </a:rPr>
            <a:t> оценки</a:t>
          </a:r>
          <a:r>
            <a:rPr lang="ru-RU" sz="1800">
              <a:latin typeface="Arial" panose="020B0604020202020204" pitchFamily="34" charset="0"/>
              <a:cs typeface="Arial" panose="020B0604020202020204" pitchFamily="34" charset="0"/>
            </a:rPr>
            <a:t> рисков специально разработана для помощи в процессе принятия</a:t>
          </a:r>
          <a:r>
            <a:rPr lang="ru-RU" sz="1800" baseline="0">
              <a:latin typeface="Arial" panose="020B0604020202020204" pitchFamily="34" charset="0"/>
              <a:cs typeface="Arial" panose="020B0604020202020204" pitchFamily="34" charset="0"/>
            </a:rPr>
            <a:t> решений</a:t>
          </a:r>
          <a:r>
            <a:rPr lang="ru-RU" sz="1800">
              <a:latin typeface="Arial" panose="020B0604020202020204" pitchFamily="34" charset="0"/>
              <a:cs typeface="Arial" panose="020B0604020202020204" pitchFamily="34" charset="0"/>
            </a:rPr>
            <a:t> и достижения компаниями поставленных целей. Модель состоит из 4 рабочих листов: Риск</a:t>
          </a:r>
          <a:r>
            <a:rPr lang="ru-RU" sz="1800" baseline="0">
              <a:latin typeface="Arial" panose="020B0604020202020204" pitchFamily="34" charset="0"/>
              <a:cs typeface="Arial" panose="020B0604020202020204" pitchFamily="34" charset="0"/>
            </a:rPr>
            <a:t>_Калькулятор</a:t>
          </a:r>
          <a:r>
            <a:rPr lang="ru-RU" sz="1800">
              <a:latin typeface="Arial" panose="020B0604020202020204" pitchFamily="34" charset="0"/>
              <a:cs typeface="Arial" panose="020B0604020202020204" pitchFamily="34" charset="0"/>
            </a:rPr>
            <a:t>,</a:t>
          </a:r>
          <a:r>
            <a:rPr lang="ru-RU" sz="1800" baseline="0">
              <a:latin typeface="Arial" panose="020B0604020202020204" pitchFamily="34" charset="0"/>
              <a:cs typeface="Arial" panose="020B0604020202020204" pitchFamily="34" charset="0"/>
            </a:rPr>
            <a:t> Графики</a:t>
          </a:r>
          <a:r>
            <a:rPr lang="ru-RU" sz="1800">
              <a:latin typeface="Arial" panose="020B0604020202020204" pitchFamily="34" charset="0"/>
              <a:cs typeface="Arial" panose="020B0604020202020204" pitchFamily="34" charset="0"/>
            </a:rPr>
            <a:t>. </a:t>
          </a:r>
          <a:br>
            <a:rPr lang="ru-RU" sz="18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ru-RU" sz="1800">
              <a:latin typeface="Arial" panose="020B0604020202020204" pitchFamily="34" charset="0"/>
              <a:cs typeface="Arial" panose="020B0604020202020204" pitchFamily="34" charset="0"/>
            </a:rPr>
            <a:t>Перемещение между рабочими листами выполняется по закладкам в нижней части.</a:t>
          </a:r>
        </a:p>
        <a:p>
          <a:r>
            <a:rPr lang="ru-RU" sz="1800">
              <a:latin typeface="Arial" panose="020B0604020202020204" pitchFamily="34" charset="0"/>
              <a:cs typeface="Arial" panose="020B0604020202020204" pitchFamily="34" charset="0"/>
            </a:rPr>
            <a:t>Схема справа отражает схему функционирования Модели. Иконки в левых углах областей означают следующее:</a:t>
          </a:r>
        </a:p>
        <a:p>
          <a:endParaRPr lang="ru-RU" sz="18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800" b="1">
              <a:latin typeface="Arial" panose="020B0604020202020204" pitchFamily="34" charset="0"/>
              <a:cs typeface="Arial" panose="020B0604020202020204" pitchFamily="34" charset="0"/>
            </a:rPr>
            <a:t>     - действие пользователя, </a:t>
          </a:r>
          <a:r>
            <a:rPr lang="ru-RU" sz="1800">
              <a:latin typeface="Arial" panose="020B0604020202020204" pitchFamily="34" charset="0"/>
              <a:cs typeface="Arial" panose="020B0604020202020204" pitchFamily="34" charset="0"/>
            </a:rPr>
            <a:t>пользователь взаимодействует с Моделью, вносит данные</a:t>
          </a:r>
        </a:p>
        <a:p>
          <a:endParaRPr lang="ru-RU" sz="18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800" b="1">
              <a:latin typeface="Arial" panose="020B0604020202020204" pitchFamily="34" charset="0"/>
              <a:cs typeface="Arial" panose="020B0604020202020204" pitchFamily="34" charset="0"/>
            </a:rPr>
            <a:t>     - компьютерное моделирование, </a:t>
          </a:r>
          <a:r>
            <a:rPr lang="ru-RU" sz="1800">
              <a:latin typeface="Arial" panose="020B0604020202020204" pitchFamily="34" charset="0"/>
              <a:cs typeface="Arial" panose="020B0604020202020204" pitchFamily="34" charset="0"/>
            </a:rPr>
            <a:t>проведение расчетов Моделью на данных пользователя</a:t>
          </a:r>
        </a:p>
        <a:p>
          <a:endParaRPr lang="ru-RU" sz="18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800">
              <a:latin typeface="Arial" panose="020B0604020202020204" pitchFamily="34" charset="0"/>
              <a:cs typeface="Arial" panose="020B0604020202020204" pitchFamily="34" charset="0"/>
            </a:rPr>
            <a:t>    </a:t>
          </a:r>
          <a:r>
            <a:rPr lang="ru-RU" sz="1800" b="1">
              <a:latin typeface="Arial" panose="020B0604020202020204" pitchFamily="34" charset="0"/>
              <a:cs typeface="Arial" panose="020B0604020202020204" pitchFamily="34" charset="0"/>
            </a:rPr>
            <a:t> - визуализация, </a:t>
          </a:r>
          <a:r>
            <a:rPr lang="ru-RU" sz="1800">
              <a:latin typeface="Arial" panose="020B0604020202020204" pitchFamily="34" charset="0"/>
              <a:cs typeface="Arial" panose="020B0604020202020204" pitchFamily="34" charset="0"/>
            </a:rPr>
            <a:t>интерпретация результатов моделирования пользователем</a:t>
          </a:r>
          <a:endParaRPr lang="en-US" sz="18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8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800">
              <a:latin typeface="Arial" panose="020B0604020202020204" pitchFamily="34" charset="0"/>
              <a:cs typeface="Arial" panose="020B0604020202020204" pitchFamily="34" charset="0"/>
            </a:rPr>
            <a:t>После смены значений параметров рисков</a:t>
          </a:r>
          <a:r>
            <a:rPr lang="ru-RU" sz="1800" baseline="0">
              <a:latin typeface="Arial" panose="020B0604020202020204" pitchFamily="34" charset="0"/>
              <a:cs typeface="Arial" panose="020B0604020202020204" pitchFamily="34" charset="0"/>
            </a:rPr>
            <a:t> (ячейки выделены желтым цветом) произойдет</a:t>
          </a:r>
          <a:r>
            <a:rPr lang="ru-RU" sz="180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endParaRPr lang="ru-RU" sz="18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800">
              <a:latin typeface="Arial" panose="020B0604020202020204" pitchFamily="34" charset="0"/>
              <a:cs typeface="Arial" panose="020B0604020202020204" pitchFamily="34" charset="0"/>
            </a:rPr>
            <a:t>     </a:t>
          </a:r>
          <a:r>
            <a:rPr lang="ru-RU" sz="1800" b="1">
              <a:latin typeface="Arial" panose="020B0604020202020204" pitchFamily="34" charset="0"/>
              <a:cs typeface="Arial" panose="020B0604020202020204" pitchFamily="34" charset="0"/>
            </a:rPr>
            <a:t>- автоматический</a:t>
          </a:r>
          <a:r>
            <a:rPr lang="ru-RU" sz="1800" b="1" baseline="0">
              <a:latin typeface="Arial" panose="020B0604020202020204" pitchFamily="34" charset="0"/>
              <a:cs typeface="Arial" panose="020B0604020202020204" pitchFamily="34" charset="0"/>
            </a:rPr>
            <a:t> пересчет модели, её результатов и графиков</a:t>
          </a:r>
          <a:endParaRPr lang="ru-RU" sz="18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ru-RU" sz="18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800" b="0" baseline="0">
              <a:latin typeface="Arial" panose="020B0604020202020204" pitchFamily="34" charset="0"/>
              <a:cs typeface="Arial" panose="020B0604020202020204" pitchFamily="34" charset="0"/>
            </a:rPr>
            <a:t>     - </a:t>
          </a:r>
          <a:r>
            <a:rPr lang="ru-RU" sz="1800" b="1" baseline="0">
              <a:latin typeface="Arial" panose="020B0604020202020204" pitchFamily="34" charset="0"/>
              <a:cs typeface="Arial" panose="020B0604020202020204" pitchFamily="34" charset="0"/>
            </a:rPr>
            <a:t>Вы сможете скопировать графики и результаты в свои документы, пользуясь обычными функциями </a:t>
          </a:r>
          <a:r>
            <a:rPr lang="en-US" sz="1800" b="1" baseline="0">
              <a:latin typeface="Arial" panose="020B0604020202020204" pitchFamily="34" charset="0"/>
              <a:cs typeface="Arial" panose="020B0604020202020204" pitchFamily="34" charset="0"/>
            </a:rPr>
            <a:t>MS Office</a:t>
          </a:r>
          <a:endParaRPr lang="en-US" sz="1800" b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800" b="1">
            <a:latin typeface="Arial" panose="020B0604020202020204" pitchFamily="34" charset="0"/>
            <a:cs typeface="Arial" panose="020B0604020202020204" pitchFamily="34" charset="0"/>
          </a:endParaRPr>
        </a:p>
        <a:p>
          <a:br>
            <a:rPr lang="en-US" sz="180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n-US" sz="18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ru-RU" sz="1800">
              <a:latin typeface="Arial" panose="020B0604020202020204" pitchFamily="34" charset="0"/>
              <a:cs typeface="Arial" panose="020B0604020202020204" pitchFamily="34" charset="0"/>
            </a:rPr>
            <a:t>Модель</a:t>
          </a:r>
          <a:r>
            <a:rPr lang="ru-RU" sz="1800" baseline="0">
              <a:latin typeface="Arial" panose="020B0604020202020204" pitchFamily="34" charset="0"/>
              <a:cs typeface="Arial" panose="020B0604020202020204" pitchFamily="34" charset="0"/>
            </a:rPr>
            <a:t> разработана АНО ДПО "ИСАР" на основе бесплатного </a:t>
          </a:r>
          <a:r>
            <a:rPr lang="en-AU" sz="1800" baseline="0">
              <a:latin typeface="Arial" panose="020B0604020202020204" pitchFamily="34" charset="0"/>
              <a:cs typeface="Arial" panose="020B0604020202020204" pitchFamily="34" charset="0"/>
            </a:rPr>
            <a:t>Open SIPmath™ 2.0 Standard </a:t>
          </a:r>
          <a:br>
            <a:rPr lang="en-AU" sz="18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ru-RU" sz="1800" baseline="0">
              <a:latin typeface="Arial" panose="020B0604020202020204" pitchFamily="34" charset="0"/>
              <a:cs typeface="Arial" panose="020B0604020202020204" pitchFamily="34" charset="0"/>
            </a:rPr>
            <a:t>с помощью приложения для </a:t>
          </a:r>
          <a:r>
            <a:rPr lang="en-US" sz="1800" baseline="0">
              <a:latin typeface="Arial" panose="020B0604020202020204" pitchFamily="34" charset="0"/>
              <a:cs typeface="Arial" panose="020B0604020202020204" pitchFamily="34" charset="0"/>
            </a:rPr>
            <a:t>MS Excel SIPmath </a:t>
          </a:r>
          <a:r>
            <a:rPr lang="en-AU" sz="1800" baseline="0">
              <a:latin typeface="Arial" panose="020B0604020202020204" pitchFamily="34" charset="0"/>
              <a:cs typeface="Arial" panose="020B0604020202020204" pitchFamily="34" charset="0"/>
            </a:rPr>
            <a:t>https://www.probabilitymanagement.org/sipmath.</a:t>
          </a:r>
          <a:r>
            <a:rPr lang="ru-RU" sz="1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br>
            <a:rPr lang="en-US" sz="18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ru-RU" sz="1800" baseline="0">
              <a:latin typeface="Arial" panose="020B0604020202020204" pitchFamily="34" charset="0"/>
              <a:cs typeface="Arial" panose="020B0604020202020204" pitchFamily="34" charset="0"/>
            </a:rPr>
            <a:t>Все права защищены 2019г.</a:t>
          </a:r>
        </a:p>
      </xdr:txBody>
    </xdr:sp>
    <xdr:clientData/>
  </xdr:twoCellAnchor>
  <xdr:twoCellAnchor>
    <xdr:from>
      <xdr:col>0</xdr:col>
      <xdr:colOff>0</xdr:colOff>
      <xdr:row>41</xdr:row>
      <xdr:rowOff>173183</xdr:rowOff>
    </xdr:from>
    <xdr:to>
      <xdr:col>24</xdr:col>
      <xdr:colOff>211607</xdr:colOff>
      <xdr:row>76</xdr:row>
      <xdr:rowOff>41452</xdr:rowOff>
    </xdr:to>
    <xdr:grpSp>
      <xdr:nvGrpSpPr>
        <xdr:cNvPr id="4" name="Групп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0" y="8334376"/>
          <a:ext cx="14758880" cy="6687303"/>
          <a:chOff x="264404" y="738132"/>
          <a:chExt cx="11578727" cy="5486400"/>
        </a:xfrm>
      </xdr:grpSpPr>
      <xdr:sp macro="" textlink="">
        <xdr:nvSpPr>
          <xdr:cNvPr id="5" name="Прямоугольник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264404" y="738132"/>
            <a:ext cx="11578727" cy="5486400"/>
          </a:xfrm>
          <a:prstGeom prst="rect">
            <a:avLst/>
          </a:prstGeom>
          <a:solidFill>
            <a:srgbClr val="F2F2F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ru-RU" sz="14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grpSp>
        <xdr:nvGrpSpPr>
          <xdr:cNvPr id="6" name="Группа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>
            <a:off x="788283" y="1371581"/>
            <a:ext cx="10669971" cy="976768"/>
            <a:chOff x="845435" y="1600188"/>
            <a:chExt cx="10669971" cy="976768"/>
          </a:xfrm>
        </xdr:grpSpPr>
        <xdr:sp macro="" textlink="">
          <xdr:nvSpPr>
            <xdr:cNvPr id="26" name="Шеврон 26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>
            <a:xfrm>
              <a:off x="845435" y="1836157"/>
              <a:ext cx="1357313" cy="500062"/>
            </a:xfrm>
            <a:prstGeom prst="chevron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ru-RU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ru-RU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Вход</a:t>
              </a:r>
            </a:p>
          </xdr:txBody>
        </xdr:sp>
        <xdr:sp macro="" textlink="">
          <xdr:nvSpPr>
            <xdr:cNvPr id="27" name="Шеврон 27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/>
          </xdr:nvSpPr>
          <xdr:spPr>
            <a:xfrm>
              <a:off x="10158093" y="1836157"/>
              <a:ext cx="1357313" cy="500062"/>
            </a:xfrm>
            <a:prstGeom prst="chevron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ru-RU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ru-RU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Выход</a:t>
              </a:r>
            </a:p>
          </xdr:txBody>
        </xdr:sp>
        <xdr:sp macro="" textlink="">
          <xdr:nvSpPr>
            <xdr:cNvPr id="28" name="Шеврон 28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/>
          </xdr:nvSpPr>
          <xdr:spPr>
            <a:xfrm>
              <a:off x="1988416" y="1600188"/>
              <a:ext cx="2700000" cy="972000"/>
            </a:xfrm>
            <a:prstGeom prst="chevron">
              <a:avLst/>
            </a:prstGeom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ru-RU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ru-RU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Анализ рисков</a:t>
              </a:r>
            </a:p>
          </xdr:txBody>
        </xdr:sp>
        <xdr:sp macro="" textlink="">
          <xdr:nvSpPr>
            <xdr:cNvPr id="29" name="Шеврон 29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SpPr/>
          </xdr:nvSpPr>
          <xdr:spPr>
            <a:xfrm>
              <a:off x="4705355" y="1604956"/>
              <a:ext cx="2736000" cy="972000"/>
            </a:xfrm>
            <a:prstGeom prst="chevron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ru-RU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ru-RU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Оценка рисков</a:t>
              </a:r>
            </a:p>
          </xdr:txBody>
        </xdr:sp>
        <xdr:sp macro="" textlink="">
          <xdr:nvSpPr>
            <xdr:cNvPr id="30" name="Шеврон 30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SpPr/>
          </xdr:nvSpPr>
          <xdr:spPr>
            <a:xfrm>
              <a:off x="7458093" y="1600188"/>
              <a:ext cx="2700000" cy="972000"/>
            </a:xfrm>
            <a:prstGeom prst="chevron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ru-RU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ctr" defTabSz="914400" rtl="0" eaLnBrk="1" latinLnBrk="0" hangingPunct="1"/>
              <a:r>
                <a:rPr lang="ru-RU" sz="1800" b="1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Представление результатов</a:t>
              </a:r>
            </a:p>
          </xdr:txBody>
        </xdr:sp>
      </xdr:grpSp>
      <xdr:pic>
        <xdr:nvPicPr>
          <xdr:cNvPr id="7" name="Рисунок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92518" y="2652652"/>
            <a:ext cx="390525" cy="361950"/>
          </a:xfrm>
          <a:prstGeom prst="rect">
            <a:avLst/>
          </a:prstGeom>
        </xdr:spPr>
      </xdr:pic>
      <xdr:pic>
        <xdr:nvPicPr>
          <xdr:cNvPr id="8" name="Рисунок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986349" y="2676518"/>
            <a:ext cx="371475" cy="333375"/>
          </a:xfrm>
          <a:prstGeom prst="rect">
            <a:avLst/>
          </a:prstGeom>
        </xdr:spPr>
      </xdr:pic>
      <xdr:pic>
        <xdr:nvPicPr>
          <xdr:cNvPr id="9" name="Рисунок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703288" y="2671702"/>
            <a:ext cx="333375" cy="323850"/>
          </a:xfrm>
          <a:prstGeom prst="rect">
            <a:avLst/>
          </a:prstGeom>
        </xdr:spPr>
      </xdr:pic>
      <xdr:pic>
        <xdr:nvPicPr>
          <xdr:cNvPr id="10" name="Рисунок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453418" y="2700277"/>
            <a:ext cx="323850" cy="314325"/>
          </a:xfrm>
          <a:prstGeom prst="rect">
            <a:avLst/>
          </a:prstGeom>
        </xdr:spPr>
      </xdr:pic>
      <xdr:pic>
        <xdr:nvPicPr>
          <xdr:cNvPr id="11" name="Рисунок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156026" y="2686042"/>
            <a:ext cx="323850" cy="314325"/>
          </a:xfrm>
          <a:prstGeom prst="rect">
            <a:avLst/>
          </a:prstGeom>
        </xdr:spPr>
      </xdr:pic>
      <xdr:sp macro="" textlink="">
        <xdr:nvSpPr>
          <xdr:cNvPr id="12" name="TextBox 19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575916" y="2688115"/>
            <a:ext cx="624918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ru-RU" sz="1400" b="1"/>
              <a:t>Вход</a:t>
            </a:r>
          </a:p>
        </xdr:txBody>
      </xdr:sp>
      <xdr:sp macro="" textlink="">
        <xdr:nvSpPr>
          <xdr:cNvPr id="13" name="TextBox 20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319488" y="3488048"/>
            <a:ext cx="1655844" cy="130903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285750" indent="-285750">
              <a:buFont typeface="Arial" panose="020B0604020202020204" pitchFamily="34" charset="0"/>
              <a:buChar char="•"/>
            </a:pPr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Определены временные рамки</a:t>
            </a:r>
          </a:p>
          <a:p>
            <a:pPr marL="285750" indent="-285750">
              <a:buFont typeface="Arial" panose="020B0604020202020204" pitchFamily="34" charset="0"/>
              <a:buChar char="•"/>
            </a:pPr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Сформирован перечень рисков</a:t>
            </a:r>
          </a:p>
          <a:p>
            <a:pPr marL="285750" indent="-285750">
              <a:buFont typeface="Arial" panose="020B0604020202020204" pitchFamily="34" charset="0"/>
              <a:buChar char="•"/>
            </a:pPr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Определен уровень риск-толерантности</a:t>
            </a:r>
          </a:p>
          <a:p>
            <a:pPr marL="285750" indent="-285750">
              <a:buFont typeface="Arial" panose="020B0604020202020204" pitchFamily="34" charset="0"/>
              <a:buChar char="•"/>
            </a:pPr>
            <a:endParaRPr lang="ru-RU" sz="14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4" name="TextBox 21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2259661" y="2686277"/>
            <a:ext cx="207215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ru-RU" sz="1400" b="1"/>
              <a:t>Шаг 1: анализ рисков</a:t>
            </a:r>
          </a:p>
        </xdr:txBody>
      </xdr:sp>
      <xdr:sp macro="" textlink="">
        <xdr:nvSpPr>
          <xdr:cNvPr id="15" name="TextBox 22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4978994" y="2684439"/>
            <a:ext cx="207215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ru-RU" sz="1400" b="1"/>
              <a:t>Шаг 2: оценка рисков</a:t>
            </a:r>
          </a:p>
        </xdr:txBody>
      </xdr:sp>
      <xdr:sp macro="" textlink="">
        <xdr:nvSpPr>
          <xdr:cNvPr id="16" name="TextBox 23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2091366" y="3407776"/>
            <a:ext cx="2240446" cy="148480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176213" indent="-176213">
              <a:buAutoNum type="arabicPeriod"/>
            </a:pPr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Каждому риску определяются параметры</a:t>
            </a:r>
            <a:r>
              <a:rPr lang="ru-RU" sz="1400" baseline="0">
                <a:latin typeface="Arial" panose="020B0604020202020204" pitchFamily="34" charset="0"/>
                <a:cs typeface="Arial" panose="020B0604020202020204" pitchFamily="34" charset="0"/>
              </a:rPr>
              <a:t> для</a:t>
            </a:r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 количественной оценки:</a:t>
            </a:r>
          </a:p>
          <a:p>
            <a:pPr marL="265113" indent="-88900">
              <a:buFont typeface="Arial" panose="020B0604020202020204" pitchFamily="34" charset="0"/>
              <a:buChar char="•"/>
            </a:pPr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вероятность</a:t>
            </a:r>
          </a:p>
          <a:p>
            <a:pPr marL="265113" indent="-88900">
              <a:buFont typeface="Arial" panose="020B0604020202020204" pitchFamily="34" charset="0"/>
              <a:buChar char="•"/>
            </a:pPr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ущерб (диапазон)</a:t>
            </a:r>
          </a:p>
          <a:p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2. Оценки документируются</a:t>
            </a:r>
          </a:p>
          <a:p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3.</a:t>
            </a:r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 Моделируются:</a:t>
            </a:r>
          </a:p>
          <a:p>
            <a:pPr marL="265113" indent="-88900">
              <a:buFont typeface="Arial" panose="020B0604020202020204" pitchFamily="34" charset="0"/>
              <a:buChar char="•"/>
            </a:pPr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влияние</a:t>
            </a:r>
            <a:r>
              <a:rPr lang="ru-RU" sz="1400" baseline="0">
                <a:latin typeface="Arial" panose="020B0604020202020204" pitchFamily="34" charset="0"/>
                <a:cs typeface="Arial" panose="020B0604020202020204" pitchFamily="34" charset="0"/>
              </a:rPr>
              <a:t> отдельных</a:t>
            </a:r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 рисков</a:t>
            </a:r>
            <a:endParaRPr lang="en-US" sz="14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7" name="TextBox 24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4832733" y="3405938"/>
            <a:ext cx="2240446" cy="112863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142875" indent="-142875"/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4. Оцениваются релевантные статистические показатели</a:t>
            </a:r>
          </a:p>
          <a:p>
            <a:pPr marL="142875" indent="-142875"/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5. Сравнивается уровень риска с определенным ранее уровнем риск-толерантности</a:t>
            </a:r>
          </a:p>
          <a:p>
            <a:pPr marL="142875" indent="-142875"/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6. Приоритезируются риски</a:t>
            </a:r>
            <a:endParaRPr lang="en-US" sz="14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8" name="TextBox 25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7709346" y="2682601"/>
            <a:ext cx="2422911" cy="52322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ru-RU" sz="1400" b="1"/>
              <a:t>Шаг 3: представление результатов</a:t>
            </a:r>
          </a:p>
        </xdr:txBody>
      </xdr:sp>
      <xdr:sp macro="" textlink="">
        <xdr:nvSpPr>
          <xdr:cNvPr id="19" name="TextBox 26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7526471" y="3339492"/>
            <a:ext cx="2240446" cy="218790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142875" indent="-142875"/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7.</a:t>
            </a:r>
            <a:r>
              <a:rPr lang="ru-RU" sz="1400" baseline="0">
                <a:latin typeface="Arial" panose="020B0604020202020204" pitchFamily="34" charset="0"/>
                <a:cs typeface="Arial" panose="020B0604020202020204" pitchFamily="34" charset="0"/>
              </a:rPr>
              <a:t> Среднее значение каждого риска</a:t>
            </a:r>
          </a:p>
          <a:p>
            <a:pPr marL="142875" indent="-142875"/>
            <a:r>
              <a:rPr lang="ru-RU" sz="1400" baseline="0">
                <a:latin typeface="Arial" panose="020B0604020202020204" pitchFamily="34" charset="0"/>
                <a:cs typeface="Arial" panose="020B0604020202020204" pitchFamily="34" charset="0"/>
              </a:rPr>
              <a:t>8. Персентиль каждого риска (по умолчаянию 95%)</a:t>
            </a:r>
          </a:p>
          <a:p>
            <a:pPr marL="142875" indent="-142875"/>
            <a:r>
              <a:rPr lang="ru-RU" sz="1400" baseline="0">
                <a:latin typeface="Arial" panose="020B0604020202020204" pitchFamily="34" charset="0"/>
                <a:cs typeface="Arial" panose="020B0604020202020204" pitchFamily="34" charset="0"/>
              </a:rPr>
              <a:t>9. Вероятность превышения лимита (риск-толерантности)</a:t>
            </a:r>
            <a:endParaRPr lang="ru-RU" sz="14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marL="142875" indent="-142875"/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10. Представление приоритезации рисков (по среднему значению степени ущерба)</a:t>
            </a:r>
          </a:p>
          <a:p>
            <a:pPr marL="142875" indent="-142875"/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9. Представление</a:t>
            </a:r>
            <a:r>
              <a:rPr lang="ru-RU" sz="1400" baseline="0">
                <a:latin typeface="Arial" panose="020B0604020202020204" pitchFamily="34" charset="0"/>
                <a:cs typeface="Arial" panose="020B0604020202020204" pitchFamily="34" charset="0"/>
              </a:rPr>
              <a:t> графиков</a:t>
            </a:r>
          </a:p>
          <a:p>
            <a:pPr marL="142875" indent="-142875"/>
            <a:r>
              <a:rPr lang="ru-RU" sz="1400" baseline="0">
                <a:latin typeface="Arial" panose="020B0604020202020204" pitchFamily="34" charset="0"/>
                <a:cs typeface="Arial" panose="020B0604020202020204" pitchFamily="34" charset="0"/>
              </a:rPr>
              <a:t>     - Матрица рисков</a:t>
            </a:r>
          </a:p>
          <a:p>
            <a:pPr marL="142875" indent="-142875"/>
            <a:r>
              <a:rPr lang="ru-RU" sz="1400" baseline="0">
                <a:latin typeface="Arial" panose="020B0604020202020204" pitchFamily="34" charset="0"/>
                <a:cs typeface="Arial" panose="020B0604020202020204" pitchFamily="34" charset="0"/>
              </a:rPr>
              <a:t>     - Риски и толерантность</a:t>
            </a:r>
            <a:endParaRPr lang="ru-RU" sz="14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0" name="TextBox 27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/>
        </xdr:nvSpPr>
        <xdr:spPr>
          <a:xfrm>
            <a:off x="10029746" y="3310864"/>
            <a:ext cx="1775529" cy="113325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285750" indent="-285750">
              <a:buFont typeface="Arial" panose="020B0604020202020204" pitchFamily="34" charset="0"/>
              <a:buChar char="•"/>
            </a:pPr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Приоритезированы риски</a:t>
            </a:r>
          </a:p>
          <a:p>
            <a:pPr marL="285750" indent="-285750">
              <a:buFont typeface="Arial" panose="020B0604020202020204" pitchFamily="34" charset="0"/>
              <a:buChar char="•"/>
            </a:pPr>
            <a:r>
              <a:rPr lang="ru-RU" sz="1400">
                <a:latin typeface="Arial" panose="020B0604020202020204" pitchFamily="34" charset="0"/>
                <a:cs typeface="Arial" panose="020B0604020202020204" pitchFamily="34" charset="0"/>
              </a:rPr>
              <a:t>Дана</a:t>
            </a:r>
            <a:r>
              <a:rPr lang="ru-RU" sz="1400" baseline="0">
                <a:latin typeface="Arial" panose="020B0604020202020204" pitchFamily="34" charset="0"/>
                <a:cs typeface="Arial" panose="020B0604020202020204" pitchFamily="34" charset="0"/>
              </a:rPr>
              <a:t> оценка каждого риска</a:t>
            </a:r>
          </a:p>
          <a:p>
            <a:pPr marL="285750" indent="-285750">
              <a:buFont typeface="Arial" panose="020B0604020202020204" pitchFamily="34" charset="0"/>
              <a:buChar char="•"/>
            </a:pPr>
            <a:r>
              <a:rPr lang="ru-RU" sz="1400" baseline="0">
                <a:latin typeface="Arial" panose="020B0604020202020204" pitchFamily="34" charset="0"/>
                <a:cs typeface="Arial" panose="020B0604020202020204" pitchFamily="34" charset="0"/>
              </a:rPr>
              <a:t>Представлены графики для отчетности</a:t>
            </a:r>
            <a:endParaRPr lang="ru-RU" sz="14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1" name="TextBox 28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 txBox="1"/>
        </xdr:nvSpPr>
        <xdr:spPr>
          <a:xfrm>
            <a:off x="10399197" y="2686276"/>
            <a:ext cx="782924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ru-RU" sz="1400" b="1"/>
              <a:t>Выход</a:t>
            </a:r>
          </a:p>
        </xdr:txBody>
      </xdr:sp>
      <xdr:cxnSp macro="">
        <xdr:nvCxnSpPr>
          <xdr:cNvPr id="22" name="Прямая соединительная линия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CxnSpPr/>
        </xdr:nvCxnSpPr>
        <xdr:spPr>
          <a:xfrm>
            <a:off x="1938971" y="2467779"/>
            <a:ext cx="11017" cy="3661721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Прямая соединительная линия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CxnSpPr/>
        </xdr:nvCxnSpPr>
        <xdr:spPr>
          <a:xfrm>
            <a:off x="4669322" y="2465941"/>
            <a:ext cx="11017" cy="3661721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Прямая соединительная линия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CxnSpPr/>
        </xdr:nvCxnSpPr>
        <xdr:spPr>
          <a:xfrm>
            <a:off x="7410687" y="2464103"/>
            <a:ext cx="11017" cy="3661721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Прямая соединительная линия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CxnSpPr/>
        </xdr:nvCxnSpPr>
        <xdr:spPr>
          <a:xfrm>
            <a:off x="10010240" y="2440729"/>
            <a:ext cx="11017" cy="3661721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17</xdr:col>
      <xdr:colOff>303069</xdr:colOff>
      <xdr:row>29</xdr:row>
      <xdr:rowOff>151533</xdr:rowOff>
    </xdr:from>
    <xdr:to>
      <xdr:col>19</xdr:col>
      <xdr:colOff>520123</xdr:colOff>
      <xdr:row>38</xdr:row>
      <xdr:rowOff>129885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7387" y="5974772"/>
          <a:ext cx="1429327" cy="1731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541192</xdr:colOff>
      <xdr:row>31</xdr:row>
      <xdr:rowOff>108240</xdr:rowOff>
    </xdr:from>
    <xdr:to>
      <xdr:col>23</xdr:col>
      <xdr:colOff>333092</xdr:colOff>
      <xdr:row>35</xdr:row>
      <xdr:rowOff>129888</xdr:rowOff>
    </xdr:to>
    <xdr:pic>
      <xdr:nvPicPr>
        <xdr:cNvPr id="32" name="Picture 31" descr="Probability Management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57783" y="6321138"/>
          <a:ext cx="2216445" cy="80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637932</xdr:colOff>
      <xdr:row>0</xdr:row>
      <xdr:rowOff>688312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5" y="0"/>
          <a:ext cx="1779516" cy="688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76201</xdr:colOff>
      <xdr:row>0</xdr:row>
      <xdr:rowOff>66675</xdr:rowOff>
    </xdr:from>
    <xdr:to>
      <xdr:col>4</xdr:col>
      <xdr:colOff>1842167</xdr:colOff>
      <xdr:row>0</xdr:row>
      <xdr:rowOff>704850</xdr:rowOff>
    </xdr:to>
    <xdr:pic>
      <xdr:nvPicPr>
        <xdr:cNvPr id="3" name="Picture 2" descr="Probability Managemen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6" y="66675"/>
          <a:ext cx="1765966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60463</xdr:colOff>
      <xdr:row>0</xdr:row>
      <xdr:rowOff>43898</xdr:rowOff>
    </xdr:from>
    <xdr:to>
      <xdr:col>2</xdr:col>
      <xdr:colOff>1203049</xdr:colOff>
      <xdr:row>1</xdr:row>
      <xdr:rowOff>2636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63" y="43898"/>
          <a:ext cx="1752186" cy="687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90078</xdr:colOff>
      <xdr:row>1</xdr:row>
      <xdr:rowOff>194379</xdr:rowOff>
    </xdr:from>
    <xdr:to>
      <xdr:col>16</xdr:col>
      <xdr:colOff>145621</xdr:colOff>
      <xdr:row>12</xdr:row>
      <xdr:rowOff>3879</xdr:rowOff>
    </xdr:to>
    <xdr:grpSp>
      <xdr:nvGrpSpPr>
        <xdr:cNvPr id="19" name="Группа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pSpPr/>
      </xdr:nvGrpSpPr>
      <xdr:grpSpPr>
        <a:xfrm>
          <a:off x="13561149" y="929165"/>
          <a:ext cx="6301222" cy="4367893"/>
          <a:chOff x="13402235" y="1445558"/>
          <a:chExt cx="6028278" cy="4068438"/>
        </a:xfrm>
      </xdr:grpSpPr>
      <xdr:graphicFrame macro="">
        <xdr:nvGraphicFramePr>
          <xdr:cNvPr id="17" name="Диаграмма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GraphicFramePr>
            <a:graphicFrameLocks/>
          </xdr:cNvGraphicFramePr>
        </xdr:nvGraphicFramePr>
        <xdr:xfrm>
          <a:off x="13402235" y="1905000"/>
          <a:ext cx="6028278" cy="36089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/>
        </xdr:nvSpPr>
        <xdr:spPr>
          <a:xfrm>
            <a:off x="15116735" y="1445558"/>
            <a:ext cx="2621526" cy="380352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solidFill>
              <a:schemeClr val="lt1">
                <a:shade val="50000"/>
                <a:alpha val="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ru-RU" sz="1400" b="1">
                <a:latin typeface="+mn-lt"/>
              </a:rPr>
              <a:t>Матрица рисков</a:t>
            </a:r>
          </a:p>
        </xdr:txBody>
      </xdr:sp>
    </xdr:grpSp>
    <xdr:clientData/>
  </xdr:twoCellAnchor>
  <xdr:twoCellAnchor>
    <xdr:from>
      <xdr:col>4</xdr:col>
      <xdr:colOff>804020</xdr:colOff>
      <xdr:row>1</xdr:row>
      <xdr:rowOff>235324</xdr:rowOff>
    </xdr:from>
    <xdr:to>
      <xdr:col>8</xdr:col>
      <xdr:colOff>607792</xdr:colOff>
      <xdr:row>12</xdr:row>
      <xdr:rowOff>290590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6600663" y="970110"/>
          <a:ext cx="6063058" cy="4613659"/>
          <a:chOff x="6932176" y="0"/>
          <a:chExt cx="5667859" cy="4615573"/>
        </a:xfrm>
      </xdr:grpSpPr>
      <xdr:grpSp>
        <xdr:nvGrpSpPr>
          <xdr:cNvPr id="16" name="Группа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GrpSpPr/>
        </xdr:nvGrpSpPr>
        <xdr:grpSpPr>
          <a:xfrm>
            <a:off x="6932176" y="0"/>
            <a:ext cx="5667859" cy="4615573"/>
            <a:chOff x="7677150" y="1057275"/>
            <a:chExt cx="5458260" cy="4612699"/>
          </a:xfrm>
        </xdr:grpSpPr>
        <xdr:grpSp>
          <xdr:nvGrpSpPr>
            <xdr:cNvPr id="8" name="Группа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GrpSpPr/>
          </xdr:nvGrpSpPr>
          <xdr:grpSpPr>
            <a:xfrm>
              <a:off x="7677150" y="1466850"/>
              <a:ext cx="5458260" cy="4203124"/>
              <a:chOff x="10101861" y="10816669"/>
              <a:chExt cx="8339572" cy="6054918"/>
            </a:xfrm>
          </xdr:grpSpPr>
          <xdr:graphicFrame macro="">
            <xdr:nvGraphicFramePr>
              <xdr:cNvPr id="9" name="Диаграмма 8">
                <a:extLst>
                  <a:ext uri="{FF2B5EF4-FFF2-40B4-BE49-F238E27FC236}">
                    <a16:creationId xmlns:a16="http://schemas.microsoft.com/office/drawing/2014/main" id="{00000000-0008-0000-0200-000009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0101861" y="10816669"/>
              <a:ext cx="8339572" cy="5514108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sp macro="" textlink="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00000000-0008-0000-0200-00000A000000}"/>
                  </a:ext>
                </a:extLst>
              </xdr:cNvPr>
              <xdr:cNvSpPr txBox="1"/>
            </xdr:nvSpPr>
            <xdr:spPr>
              <a:xfrm>
                <a:off x="15431956" y="16516706"/>
                <a:ext cx="2898730" cy="35488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ru-RU" sz="900" b="1">
                    <a:latin typeface="Arial" panose="020B0604020202020204" pitchFamily="34" charset="0"/>
                    <a:cs typeface="Arial" panose="020B0604020202020204" pitchFamily="34" charset="0"/>
                  </a:rPr>
                  <a:t>Риск-толерантность</a:t>
                </a:r>
              </a:p>
            </xdr:txBody>
          </xdr:sp>
          <xdr:cxnSp macro="">
            <xdr:nvCxnSpPr>
              <xdr:cNvPr id="11" name="Прямая соединительная линия 10">
                <a:extLst>
                  <a:ext uri="{FF2B5EF4-FFF2-40B4-BE49-F238E27FC236}">
                    <a16:creationId xmlns:a16="http://schemas.microsoft.com/office/drawing/2014/main" id="{00000000-0008-0000-0200-00000B000000}"/>
                  </a:ext>
                </a:extLst>
              </xdr:cNvPr>
              <xdr:cNvCxnSpPr/>
            </xdr:nvCxnSpPr>
            <xdr:spPr>
              <a:xfrm>
                <a:off x="14719283" y="16717083"/>
                <a:ext cx="731968" cy="0"/>
              </a:xfrm>
              <a:prstGeom prst="line">
                <a:avLst/>
              </a:prstGeom>
              <a:ln w="22225">
                <a:solidFill>
                  <a:srgbClr val="FF0000"/>
                </a:solidFill>
                <a:prstDash val="dash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SpPr txBox="1"/>
          </xdr:nvSpPr>
          <xdr:spPr>
            <a:xfrm>
              <a:off x="9258300" y="1057275"/>
              <a:ext cx="2619375" cy="381000"/>
            </a:xfrm>
            <a:prstGeom prst="rect">
              <a:avLst/>
            </a:prstGeom>
            <a:solidFill>
              <a:schemeClr val="lt1">
                <a:alpha val="0"/>
              </a:schemeClr>
            </a:solidFill>
            <a:ln w="9525" cmpd="sng">
              <a:solidFill>
                <a:schemeClr val="lt1">
                  <a:shade val="50000"/>
                  <a:alpha val="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ru-RU" sz="1400" b="1">
                  <a:latin typeface="+mn-lt"/>
                </a:rPr>
                <a:t>Риски и толерантность</a:t>
              </a:r>
            </a:p>
          </xdr:txBody>
        </xdr:sp>
      </xdr:grp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7752522" y="4356653"/>
            <a:ext cx="1970076" cy="246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15 </a:t>
            </a:r>
            <a:r>
              <a:rPr lang="ru-RU" sz="9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- Риск-среднее</a:t>
            </a:r>
          </a:p>
        </xdr:txBody>
      </xdr:sp>
    </xdr:grpSp>
    <xdr:clientData/>
  </xdr:twoCellAnchor>
  <xdr:twoCellAnchor editAs="oneCell">
    <xdr:from>
      <xdr:col>2</xdr:col>
      <xdr:colOff>1333501</xdr:colOff>
      <xdr:row>0</xdr:row>
      <xdr:rowOff>136072</xdr:rowOff>
    </xdr:from>
    <xdr:to>
      <xdr:col>2</xdr:col>
      <xdr:colOff>2877311</xdr:colOff>
      <xdr:row>0</xdr:row>
      <xdr:rowOff>693965</xdr:rowOff>
    </xdr:to>
    <xdr:pic>
      <xdr:nvPicPr>
        <xdr:cNvPr id="14" name="Picture 13" descr="Probability Management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215" y="136072"/>
          <a:ext cx="1543810" cy="557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0.17268</cdr:x>
      <cdr:y>0.85644</cdr:y>
    </cdr:from>
    <cdr:to>
      <cdr:x>0.97295</cdr:x>
      <cdr:y>0.86261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0BDFD1F5-966D-4727-A70D-BB4924560AEC}"/>
            </a:ext>
          </a:extLst>
        </cdr:cNvPr>
        <cdr:cNvCxnSpPr/>
      </cdr:nvCxnSpPr>
      <cdr:spPr>
        <a:xfrm xmlns:a="http://schemas.openxmlformats.org/drawingml/2006/main" flipV="1">
          <a:off x="980709" y="3286302"/>
          <a:ext cx="4545193" cy="23699"/>
        </a:xfrm>
        <a:prstGeom xmlns:a="http://schemas.openxmlformats.org/drawingml/2006/main" prst="line">
          <a:avLst/>
        </a:prstGeom>
        <a:ln xmlns:a="http://schemas.openxmlformats.org/drawingml/2006/main" w="22225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428625</xdr:colOff>
          <xdr:row>2</xdr:row>
          <xdr:rowOff>133350</xdr:rowOff>
        </xdr:to>
        <xdr:sp macro="" textlink="">
          <xdr:nvSpPr>
            <xdr:cNvPr id="3114" name="PAGEOPTIONS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3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3</xdr:col>
      <xdr:colOff>405676</xdr:colOff>
      <xdr:row>0</xdr:row>
      <xdr:rowOff>524301</xdr:rowOff>
    </xdr:to>
    <xdr:pic>
      <xdr:nvPicPr>
        <xdr:cNvPr id="2" name="PM 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0"/>
          <a:ext cx="1605826" cy="524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9083-EB2F-4EF5-84DF-B18004375B13}">
  <sheetPr>
    <pageSetUpPr fitToPage="1"/>
  </sheetPr>
  <dimension ref="A5:X5"/>
  <sheetViews>
    <sheetView showGridLines="0" zoomScale="44" zoomScaleNormal="44" workbookViewId="0">
      <selection activeCell="AA47" sqref="AA47"/>
    </sheetView>
  </sheetViews>
  <sheetFormatPr defaultRowHeight="15" x14ac:dyDescent="0.25"/>
  <cols>
    <col min="23" max="23" width="9.140625" customWidth="1"/>
  </cols>
  <sheetData>
    <row r="5" spans="1:24" ht="28.5" x14ac:dyDescent="0.45">
      <c r="A5" s="66" t="s">
        <v>77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9"/>
      <c r="X5" s="69"/>
    </row>
  </sheetData>
  <pageMargins left="0.70866141732283472" right="0.70866141732283472" top="0.74803149606299213" bottom="0.74803149606299213" header="0.31496062992125984" footer="0.31496062992125984"/>
  <pageSetup paperSize="9" scale="45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P40"/>
  <sheetViews>
    <sheetView showGridLines="0" tabSelected="1" zoomScaleNormal="100" workbookViewId="0">
      <selection activeCell="I5" sqref="I5"/>
    </sheetView>
  </sheetViews>
  <sheetFormatPr defaultColWidth="9.140625" defaultRowHeight="15" x14ac:dyDescent="0.25"/>
  <cols>
    <col min="1" max="1" width="1.140625" style="13" customWidth="1"/>
    <col min="2" max="3" width="7.85546875" style="13" customWidth="1"/>
    <col min="4" max="4" width="9.5703125" style="1" customWidth="1"/>
    <col min="5" max="5" width="44" style="1" customWidth="1"/>
    <col min="6" max="6" width="22.28515625" style="1" customWidth="1"/>
    <col min="7" max="9" width="20.85546875" style="1" customWidth="1"/>
    <col min="10" max="10" width="22.28515625" style="1" customWidth="1"/>
    <col min="11" max="11" width="21.140625" style="1" customWidth="1"/>
    <col min="12" max="12" width="24.85546875" style="1" customWidth="1"/>
    <col min="13" max="13" width="20.5703125" style="1" customWidth="1"/>
    <col min="14" max="14" width="20.85546875" style="1" customWidth="1"/>
    <col min="15" max="16" width="9.140625" style="1"/>
    <col min="17" max="17" width="9.140625" style="1" customWidth="1"/>
    <col min="18" max="16384" width="9.140625" style="1"/>
  </cols>
  <sheetData>
    <row r="1" spans="1:16" ht="66.95" customHeight="1" x14ac:dyDescent="0.25">
      <c r="F1" s="99" t="s">
        <v>88</v>
      </c>
      <c r="G1" s="99"/>
      <c r="H1" s="100"/>
      <c r="I1" s="101"/>
      <c r="J1" s="101"/>
      <c r="O1" s="13" t="s">
        <v>50</v>
      </c>
      <c r="P1" s="13" t="s">
        <v>51</v>
      </c>
    </row>
    <row r="2" spans="1:16" ht="31.5" customHeight="1" x14ac:dyDescent="0.25">
      <c r="B2" s="97" t="s">
        <v>48</v>
      </c>
      <c r="C2" s="97" t="s">
        <v>49</v>
      </c>
      <c r="D2" s="97" t="s">
        <v>0</v>
      </c>
      <c r="E2" s="97" t="s">
        <v>11</v>
      </c>
      <c r="F2" s="97" t="s">
        <v>13</v>
      </c>
      <c r="G2" s="97" t="s">
        <v>68</v>
      </c>
      <c r="H2" s="97"/>
      <c r="I2" s="97"/>
      <c r="J2" s="97" t="s">
        <v>69</v>
      </c>
      <c r="K2" s="97" t="s">
        <v>70</v>
      </c>
      <c r="L2" s="97" t="s">
        <v>71</v>
      </c>
      <c r="M2" s="80" t="s">
        <v>72</v>
      </c>
      <c r="N2" s="97" t="s">
        <v>73</v>
      </c>
      <c r="O2" s="13"/>
      <c r="P2" s="13"/>
    </row>
    <row r="3" spans="1:16" ht="15.75" x14ac:dyDescent="0.25">
      <c r="B3" s="98"/>
      <c r="C3" s="98"/>
      <c r="D3" s="98"/>
      <c r="E3" s="98"/>
      <c r="F3" s="98"/>
      <c r="G3" s="56" t="s">
        <v>83</v>
      </c>
      <c r="H3" s="56" t="s">
        <v>84</v>
      </c>
      <c r="I3" s="56" t="s">
        <v>85</v>
      </c>
      <c r="J3" s="98"/>
      <c r="K3" s="98"/>
      <c r="L3" s="98"/>
      <c r="M3" s="95">
        <v>0.95</v>
      </c>
      <c r="N3" s="98"/>
      <c r="O3" s="13"/>
      <c r="P3" s="13"/>
    </row>
    <row r="4" spans="1:16" ht="33" x14ac:dyDescent="0.25">
      <c r="B4" s="96" t="s">
        <v>80</v>
      </c>
      <c r="C4" s="96" t="s">
        <v>80</v>
      </c>
      <c r="D4" s="96" t="s">
        <v>86</v>
      </c>
      <c r="E4" s="96" t="s">
        <v>81</v>
      </c>
      <c r="F4" s="96" t="s">
        <v>82</v>
      </c>
      <c r="G4" s="96" t="s">
        <v>94</v>
      </c>
      <c r="H4" s="96" t="s">
        <v>87</v>
      </c>
      <c r="I4" s="96" t="s">
        <v>95</v>
      </c>
      <c r="J4" s="96" t="s">
        <v>89</v>
      </c>
      <c r="K4" s="96" t="s">
        <v>90</v>
      </c>
      <c r="L4" s="96" t="s">
        <v>91</v>
      </c>
      <c r="M4" s="96" t="s">
        <v>92</v>
      </c>
      <c r="N4" s="96" t="s">
        <v>93</v>
      </c>
      <c r="O4" s="13"/>
      <c r="P4" s="13"/>
    </row>
    <row r="5" spans="1:16" ht="37.5" customHeight="1" x14ac:dyDescent="0.25">
      <c r="A5" s="13">
        <f>IFERROR(_xlfn.RANK.EQ($K5,$K$5:$K$14,0),"")</f>
        <v>3</v>
      </c>
      <c r="B5" s="85">
        <v>1001</v>
      </c>
      <c r="C5" s="85">
        <v>2001</v>
      </c>
      <c r="D5" s="85" t="s">
        <v>1</v>
      </c>
      <c r="E5" s="86" t="s">
        <v>74</v>
      </c>
      <c r="F5" s="87">
        <v>0.9</v>
      </c>
      <c r="G5" s="88">
        <v>10</v>
      </c>
      <c r="H5" s="88">
        <v>50</v>
      </c>
      <c r="I5" s="89">
        <v>70</v>
      </c>
      <c r="J5" s="90">
        <f>F17*G17</f>
        <v>61.316918591478768</v>
      </c>
      <c r="K5" s="91">
        <f>AVERAGE(Risk_1)</f>
        <v>38.858980220844145</v>
      </c>
      <c r="L5" s="92">
        <v>100</v>
      </c>
      <c r="M5" s="93">
        <f>PERCENTILE(Risk_1,$M$3)</f>
        <v>61.843839246140945</v>
      </c>
      <c r="N5" s="94">
        <f>COUNTIF( Risk_1, "&gt;" &amp; L5 ) / PM_Trials</f>
        <v>0</v>
      </c>
      <c r="O5" s="13">
        <f t="shared" ref="O5:O14" si="0">( MOD((( MOD( (B5+1000000)^2 + (B5+1000000)*(PM_Index+10000000), 99999989 )) + 1000007 ) * (( MOD( (PM_Index+10000000)^2 + (PM_Index+10000000) * ( MOD( (B5+1000000)^2 + (B5+1000000)*(PM_Index+10000000), 99999989 )), 99999989 )) + 1000013 ), 2147483647 ) + 0.5 ) / 2147483647</f>
        <v>0.51192090288359715</v>
      </c>
      <c r="P5" s="13">
        <f>( MOD((( MOD( (976984+1000000)^2 + (976984+1000000)*(PM_Index+10000000), 99999989 )) + 1000007 ) * (( MOD( (PM_Index+10000000)^2 + (PM_Index+10000000) * ( MOD( (976984+1000000)^2 + (976984+1000000)*(PM_Index+10000000), 99999989 )), 99999989 )) + 1000013 ), 2147483647 ) + 0.5 ) / 2147483647</f>
        <v>0.93717008104416077</v>
      </c>
    </row>
    <row r="6" spans="1:16" ht="37.5" customHeight="1" x14ac:dyDescent="0.25">
      <c r="A6" s="13">
        <f t="shared" ref="A6:A14" si="1">IFERROR(_xlfn.RANK.EQ($K6,$K$5:$K$14,0),"")</f>
        <v>2</v>
      </c>
      <c r="B6" s="8">
        <v>1002</v>
      </c>
      <c r="C6" s="8">
        <v>2002</v>
      </c>
      <c r="D6" s="8" t="s">
        <v>2</v>
      </c>
      <c r="E6" s="9" t="s">
        <v>75</v>
      </c>
      <c r="F6" s="74">
        <v>0.85</v>
      </c>
      <c r="G6" s="76">
        <v>50</v>
      </c>
      <c r="H6" s="76">
        <v>70</v>
      </c>
      <c r="I6" s="77">
        <v>100</v>
      </c>
      <c r="J6" s="72">
        <f t="shared" ref="J6:J14" si="2">F18*G18</f>
        <v>0</v>
      </c>
      <c r="K6" s="34">
        <f>AVERAGE(Risk_2)</f>
        <v>62.832175378772398</v>
      </c>
      <c r="L6" s="78">
        <v>70</v>
      </c>
      <c r="M6" s="70">
        <f>PERCENTILE(Risk_2,$M$3)</f>
        <v>91.025128692826144</v>
      </c>
      <c r="N6" s="35">
        <f>COUNTIF( Risk_2, "&gt;" &amp; L6 ) / PM_Trials</f>
        <v>0.52900000000000003</v>
      </c>
      <c r="O6" s="13">
        <f t="shared" si="0"/>
        <v>0.87004897667563008</v>
      </c>
      <c r="P6" s="13">
        <f>( MOD((( MOD( (976985+1000000)^2 + (976985+1000000)*(PM_Index+10000000), 99999989 )) + 1000007 ) * (( MOD( (PM_Index+10000000)^2 + (PM_Index+10000000) * ( MOD( (976985+1000000)^2 + (976985+1000000)*(PM_Index+10000000), 99999989 )), 99999989 )) + 1000013 ), 2147483647 ) + 0.5 ) / 2147483647</f>
        <v>0.42715581456532509</v>
      </c>
    </row>
    <row r="7" spans="1:16" ht="47.25" x14ac:dyDescent="0.25">
      <c r="A7" s="13">
        <f t="shared" si="1"/>
        <v>1</v>
      </c>
      <c r="B7" s="8">
        <v>1003</v>
      </c>
      <c r="C7" s="8">
        <v>2003</v>
      </c>
      <c r="D7" s="8" t="s">
        <v>3</v>
      </c>
      <c r="E7" s="9" t="s">
        <v>76</v>
      </c>
      <c r="F7" s="74">
        <v>0.7</v>
      </c>
      <c r="G7" s="76">
        <v>60</v>
      </c>
      <c r="H7" s="76">
        <v>80</v>
      </c>
      <c r="I7" s="77">
        <v>150</v>
      </c>
      <c r="J7" s="72">
        <f t="shared" si="2"/>
        <v>90.701989862526432</v>
      </c>
      <c r="K7" s="34">
        <f>AVERAGE(Risk_3)</f>
        <v>67.883668689846147</v>
      </c>
      <c r="L7" s="78">
        <v>30</v>
      </c>
      <c r="M7" s="70">
        <f>PERCENTILE(Risk_3,$M$3)</f>
        <v>127.56465724241319</v>
      </c>
      <c r="N7" s="35">
        <f>COUNTIF( Risk_3, "&gt;" &amp; L7 ) / PM_Trials</f>
        <v>0.70399999999999996</v>
      </c>
      <c r="O7" s="13">
        <f t="shared" si="0"/>
        <v>0.6065532523703544</v>
      </c>
      <c r="P7" s="13">
        <f>( MOD((( MOD( (976986+1000000)^2 + (976986+1000000)*(PM_Index+10000000), 99999989 )) + 1000007 ) * (( MOD( (PM_Index+10000000)^2 + (PM_Index+10000000) * ( MOD( (976986+1000000)^2 + (976986+1000000)*(PM_Index+10000000), 99999989 )), 99999989 )) + 1000013 ), 2147483647 ) + 0.5 ) / 2147483647</f>
        <v>0.44186444345017173</v>
      </c>
    </row>
    <row r="8" spans="1:16" ht="37.5" customHeight="1" x14ac:dyDescent="0.25">
      <c r="A8" s="13">
        <f t="shared" si="1"/>
        <v>5</v>
      </c>
      <c r="B8" s="8">
        <v>1004</v>
      </c>
      <c r="C8" s="8">
        <v>2004</v>
      </c>
      <c r="D8" s="8" t="s">
        <v>4</v>
      </c>
      <c r="E8" s="9" t="s">
        <v>22</v>
      </c>
      <c r="F8" s="74">
        <v>0.8</v>
      </c>
      <c r="G8" s="76">
        <v>10</v>
      </c>
      <c r="H8" s="76">
        <v>50</v>
      </c>
      <c r="I8" s="77">
        <v>70</v>
      </c>
      <c r="J8" s="72">
        <f t="shared" si="2"/>
        <v>0</v>
      </c>
      <c r="K8" s="34">
        <f>AVERAGE(Risk_4)</f>
        <v>35.099611422931773</v>
      </c>
      <c r="L8" s="78">
        <v>20</v>
      </c>
      <c r="M8" s="70">
        <f>PERCENTILE(Risk_4,$M$3)</f>
        <v>61.183354744531719</v>
      </c>
      <c r="N8" s="35">
        <f>COUNTIF( Risk_4, "&gt;" &amp; L8 ) / PM_Trials</f>
        <v>0.78</v>
      </c>
      <c r="O8" s="13">
        <f t="shared" si="0"/>
        <v>0.88763827103545812</v>
      </c>
      <c r="P8" s="13">
        <f>( MOD((( MOD( (976987+1000000)^2 + (976987+1000000)*(PM_Index+10000000), 99999989 )) + 1000007 ) * (( MOD( (PM_Index+10000000)^2 + (PM_Index+10000000) * ( MOD( (976987+1000000)^2 + (976987+1000000)*(PM_Index+10000000), 99999989 )), 99999989 )) + 1000013 ), 2147483647 ) + 0.5 ) / 2147483647</f>
        <v>0.74026037530985678</v>
      </c>
    </row>
    <row r="9" spans="1:16" ht="37.5" customHeight="1" x14ac:dyDescent="0.25">
      <c r="A9" s="13">
        <f t="shared" si="1"/>
        <v>9</v>
      </c>
      <c r="B9" s="8">
        <v>1005</v>
      </c>
      <c r="C9" s="8">
        <v>2005</v>
      </c>
      <c r="D9" s="8" t="s">
        <v>5</v>
      </c>
      <c r="E9" s="9" t="s">
        <v>23</v>
      </c>
      <c r="F9" s="74">
        <v>0.1</v>
      </c>
      <c r="G9" s="76">
        <v>10</v>
      </c>
      <c r="H9" s="76">
        <v>50</v>
      </c>
      <c r="I9" s="77">
        <v>70</v>
      </c>
      <c r="J9" s="72">
        <f t="shared" si="2"/>
        <v>0</v>
      </c>
      <c r="K9" s="34">
        <f>AVERAGE(Risk_5)</f>
        <v>4.5730083392326462</v>
      </c>
      <c r="L9" s="78">
        <v>80</v>
      </c>
      <c r="M9" s="70">
        <f>PERCENTILE(Risk_5,$M$3)</f>
        <v>46.397165280638418</v>
      </c>
      <c r="N9" s="35">
        <f>COUNTIF( Risk_5, "&gt;" &amp; L9 ) / PM_Trials</f>
        <v>0</v>
      </c>
      <c r="O9" s="13">
        <f t="shared" si="0"/>
        <v>0.99126729392039925</v>
      </c>
      <c r="P9" s="13">
        <f>( MOD((( MOD( (976988+1000000)^2 + (976988+1000000)*(PM_Index+10000000), 99999989 )) + 1000007 ) * (( MOD( (PM_Index+10000000)^2 + (PM_Index+10000000) * ( MOD( (976988+1000000)^2 + (976988+1000000)*(PM_Index+10000000), 99999989 )), 99999989 )) + 1000013 ), 2147483647 ) + 0.5 ) / 2147483647</f>
        <v>0.96564157794492389</v>
      </c>
    </row>
    <row r="10" spans="1:16" ht="37.5" customHeight="1" x14ac:dyDescent="0.25">
      <c r="A10" s="13">
        <f t="shared" si="1"/>
        <v>7</v>
      </c>
      <c r="B10" s="8">
        <v>1006</v>
      </c>
      <c r="C10" s="8">
        <v>2006</v>
      </c>
      <c r="D10" s="8" t="s">
        <v>6</v>
      </c>
      <c r="E10" s="9" t="s">
        <v>24</v>
      </c>
      <c r="F10" s="74">
        <v>0.25</v>
      </c>
      <c r="G10" s="76">
        <v>10</v>
      </c>
      <c r="H10" s="76">
        <v>50</v>
      </c>
      <c r="I10" s="77">
        <v>70</v>
      </c>
      <c r="J10" s="72">
        <f t="shared" si="2"/>
        <v>0</v>
      </c>
      <c r="K10" s="34">
        <f>AVERAGE(Risk_6)</f>
        <v>10.024147316101484</v>
      </c>
      <c r="L10" s="78">
        <v>60</v>
      </c>
      <c r="M10" s="70">
        <f>PERCENTILE(Risk_6,$M$3)</f>
        <v>53.866839865247222</v>
      </c>
      <c r="N10" s="35">
        <f>COUNTIF( Risk_6, "&gt;" &amp; L10 ) / PM_Trials</f>
        <v>2.1999999999999999E-2</v>
      </c>
      <c r="O10" s="13">
        <f t="shared" si="0"/>
        <v>0.91667555245416033</v>
      </c>
      <c r="P10" s="13">
        <f>( MOD((( MOD( (976989+1000000)^2 + (976989+1000000)*(PM_Index+10000000), 99999989 )) + 1000007 ) * (( MOD( (PM_Index+10000000)^2 + (PM_Index+10000000) * ( MOD( (976989+1000000)^2 + (976989+1000000)*(PM_Index+10000000), 99999989 )), 99999989 )) + 1000013 ), 2147483647 ) + 0.5 ) / 2147483647</f>
        <v>0.71292375131180685</v>
      </c>
    </row>
    <row r="11" spans="1:16" ht="37.5" customHeight="1" x14ac:dyDescent="0.25">
      <c r="A11" s="13">
        <f t="shared" si="1"/>
        <v>6</v>
      </c>
      <c r="B11" s="8">
        <v>1007</v>
      </c>
      <c r="C11" s="8">
        <v>2007</v>
      </c>
      <c r="D11" s="8" t="s">
        <v>7</v>
      </c>
      <c r="E11" s="9" t="s">
        <v>25</v>
      </c>
      <c r="F11" s="74">
        <v>0.45</v>
      </c>
      <c r="G11" s="76">
        <v>10</v>
      </c>
      <c r="H11" s="76">
        <v>50</v>
      </c>
      <c r="I11" s="77">
        <v>70</v>
      </c>
      <c r="J11" s="72">
        <f t="shared" si="2"/>
        <v>0</v>
      </c>
      <c r="K11" s="34">
        <f>AVERAGE(Risk_7)</f>
        <v>18.481277512895474</v>
      </c>
      <c r="L11" s="78">
        <v>50</v>
      </c>
      <c r="M11" s="70">
        <f>PERCENTILE(Risk_7,$M$3)</f>
        <v>58.835777142003465</v>
      </c>
      <c r="N11" s="35">
        <f>COUNTIF( Risk_7, "&gt;" &amp; L11 ) / PM_Trials</f>
        <v>0.14899999999999999</v>
      </c>
      <c r="O11" s="13">
        <f t="shared" si="0"/>
        <v>0.67858205138639638</v>
      </c>
      <c r="P11" s="13">
        <f>( MOD((( MOD( (976990+1000000)^2 + (976990+1000000)*(PM_Index+10000000), 99999989 )) + 1000007 ) * (( MOD( (PM_Index+10000000)^2 + (PM_Index+10000000) * ( MOD( (976990+1000000)^2 + (976990+1000000)*(PM_Index+10000000), 99999989 )), 99999989 )) + 1000013 ), 2147483647 ) + 0.5 ) / 2147483647</f>
        <v>0.68878131554870925</v>
      </c>
    </row>
    <row r="12" spans="1:16" ht="37.5" customHeight="1" x14ac:dyDescent="0.25">
      <c r="A12" s="13">
        <f t="shared" si="1"/>
        <v>8</v>
      </c>
      <c r="B12" s="8">
        <v>1008</v>
      </c>
      <c r="C12" s="8">
        <v>2008</v>
      </c>
      <c r="D12" s="8" t="s">
        <v>8</v>
      </c>
      <c r="E12" s="9" t="s">
        <v>26</v>
      </c>
      <c r="F12" s="74">
        <v>0.2</v>
      </c>
      <c r="G12" s="76">
        <v>10</v>
      </c>
      <c r="H12" s="76">
        <v>50</v>
      </c>
      <c r="I12" s="77">
        <v>70</v>
      </c>
      <c r="J12" s="72">
        <f t="shared" si="2"/>
        <v>0</v>
      </c>
      <c r="K12" s="34">
        <f>AVERAGE(Risk_8)</f>
        <v>8.214244930495731</v>
      </c>
      <c r="L12" s="78">
        <v>30</v>
      </c>
      <c r="M12" s="70">
        <f>PERCENTILE(Risk_8,$M$3)</f>
        <v>51.055164741018054</v>
      </c>
      <c r="N12" s="35">
        <f>COUNTIF( Risk_8, "&gt;" &amp; L12 ) / PM_Trials</f>
        <v>0.156</v>
      </c>
      <c r="O12" s="13">
        <f t="shared" si="0"/>
        <v>0.65525302111881456</v>
      </c>
      <c r="P12" s="13">
        <f>( MOD((( MOD( (976991+1000000)^2 + (976991+1000000)*(PM_Index+10000000), 99999989 )) + 1000007 ) * (( MOD( (PM_Index+10000000)^2 + (PM_Index+10000000) * ( MOD( (976991+1000000)^2 + (976991+1000000)*(PM_Index+10000000), 99999989 )), 99999989 )) + 1000013 ), 2147483647 ) + 0.5 ) / 2147483647</f>
        <v>0.98130750166313141</v>
      </c>
    </row>
    <row r="13" spans="1:16" ht="37.5" customHeight="1" x14ac:dyDescent="0.25">
      <c r="A13" s="13">
        <f t="shared" si="1"/>
        <v>4</v>
      </c>
      <c r="B13" s="8">
        <v>1009</v>
      </c>
      <c r="C13" s="8">
        <v>2009</v>
      </c>
      <c r="D13" s="8" t="s">
        <v>9</v>
      </c>
      <c r="E13" s="57" t="s">
        <v>27</v>
      </c>
      <c r="F13" s="75">
        <v>0.8</v>
      </c>
      <c r="G13" s="76">
        <v>10</v>
      </c>
      <c r="H13" s="76">
        <v>50</v>
      </c>
      <c r="I13" s="77">
        <v>70</v>
      </c>
      <c r="J13" s="72">
        <f t="shared" si="2"/>
        <v>0</v>
      </c>
      <c r="K13" s="58">
        <f>AVERAGE(Risk_9)</f>
        <v>35.735753069113436</v>
      </c>
      <c r="L13" s="79">
        <v>40</v>
      </c>
      <c r="M13" s="71">
        <f>PERCENTILE(Risk_9,$M$3)</f>
        <v>61.666063687464366</v>
      </c>
      <c r="N13" s="59">
        <f>COUNTIF( Risk_9, "&gt;" &amp; L13 ) / PM_Trials</f>
        <v>0.53</v>
      </c>
      <c r="O13" s="13">
        <f t="shared" si="0"/>
        <v>0.82692537099445484</v>
      </c>
      <c r="P13" s="13">
        <f>( MOD((( MOD( (976992+1000000)^2 + (976992+1000000)*(PM_Index+10000000), 99999989 )) + 1000007 ) * (( MOD( (PM_Index+10000000)^2 + (PM_Index+10000000) * ( MOD( (976992+1000000)^2 + (976992+1000000)*(PM_Index+10000000), 99999989 )), 99999989 )) + 1000013 ), 2147483647 ) + 0.5 ) / 2147483647</f>
        <v>0.11441699956283764</v>
      </c>
    </row>
    <row r="14" spans="1:16" ht="37.5" customHeight="1" x14ac:dyDescent="0.25">
      <c r="A14" s="13">
        <f t="shared" si="1"/>
        <v>10</v>
      </c>
      <c r="B14" s="8">
        <v>1010</v>
      </c>
      <c r="C14" s="8">
        <v>2010</v>
      </c>
      <c r="D14" s="8" t="s">
        <v>10</v>
      </c>
      <c r="E14" s="9" t="s">
        <v>28</v>
      </c>
      <c r="F14" s="74">
        <v>0.1</v>
      </c>
      <c r="G14" s="76">
        <v>10</v>
      </c>
      <c r="H14" s="76">
        <v>50</v>
      </c>
      <c r="I14" s="77">
        <v>70</v>
      </c>
      <c r="J14" s="73">
        <f t="shared" si="2"/>
        <v>0</v>
      </c>
      <c r="K14" s="10">
        <f>AVERAGE(Risk_10)</f>
        <v>4.1725150559405648</v>
      </c>
      <c r="L14" s="78">
        <v>10</v>
      </c>
      <c r="M14" s="70">
        <f>PERCENTILE(Risk_10,$M$3)</f>
        <v>44.484792691045207</v>
      </c>
      <c r="N14" s="35">
        <f>COUNTIF( Risk_10, "&gt;" &amp; L14 ) / PM_Trials</f>
        <v>9.4E-2</v>
      </c>
      <c r="O14" s="13">
        <f t="shared" si="0"/>
        <v>0.6136846319370366</v>
      </c>
      <c r="P14" s="13">
        <f>( MOD((( MOD( (976993+1000000)^2 + (976993+1000000)*(PM_Index+10000000), 99999989 )) + 1000007 ) * (( MOD( (PM_Index+10000000)^2 + (PM_Index+10000000) * ( MOD( (976993+1000000)^2 + (976993+1000000)*(PM_Index+10000000), 99999989 )), 99999989 )) + 1000013 ), 2147483647 ) + 0.5 ) / 2147483647</f>
        <v>0.60848342306375658</v>
      </c>
    </row>
    <row r="15" spans="1:16" ht="15.75" x14ac:dyDescent="0.25">
      <c r="B15" s="60"/>
      <c r="C15" s="60"/>
      <c r="D15" s="60"/>
      <c r="E15" s="61"/>
      <c r="F15" s="62"/>
      <c r="G15" s="63"/>
      <c r="H15" s="63"/>
      <c r="I15" s="64"/>
      <c r="J15" s="64"/>
      <c r="K15" s="64"/>
      <c r="L15" s="23"/>
      <c r="M15" s="23"/>
      <c r="N15" s="36"/>
      <c r="O15" s="13"/>
      <c r="P15" s="13"/>
    </row>
    <row r="16" spans="1:16" ht="16.5" thickBot="1" x14ac:dyDescent="0.3">
      <c r="B16" s="81" t="s">
        <v>78</v>
      </c>
      <c r="C16" s="82"/>
      <c r="D16" s="82"/>
      <c r="E16" s="67"/>
      <c r="F16" s="13" t="s">
        <v>52</v>
      </c>
      <c r="G16" s="13" t="s">
        <v>18</v>
      </c>
      <c r="H16" s="13"/>
      <c r="I16" s="13"/>
      <c r="K16" s="7"/>
      <c r="O16" s="13"/>
      <c r="P16" s="13"/>
    </row>
    <row r="17" spans="4:16" ht="15.75" x14ac:dyDescent="0.25">
      <c r="D17" s="13"/>
      <c r="E17" s="61" t="s">
        <v>19</v>
      </c>
      <c r="F17" s="13">
        <f t="shared" ref="F17:F26" si="3">IF(O5&lt;F5,1,0)</f>
        <v>1</v>
      </c>
      <c r="G17" s="13">
        <f t="shared" ref="G17:G26" si="4">IF( G5 &gt; H5, NA(), IF( H5 &gt; I5, NA(), IF( G5 = I5, H5, IF( P5 &lt; (( H5 - G5 ) / ( I5 - G5 )), G5 + SQRT( P5 * ( H5 - G5 ) * ( I5 - G5 )), I5 - SQRT(( 1 - P5 ) * ( I5 - G5 ) * ( I5 - H5 ))))))</f>
        <v>61.316918591478768</v>
      </c>
      <c r="H17" s="13"/>
      <c r="I17" s="13"/>
      <c r="O17" s="13"/>
      <c r="P17" s="13"/>
    </row>
    <row r="18" spans="4:16" ht="15.75" x14ac:dyDescent="0.25">
      <c r="D18" s="13"/>
      <c r="E18" s="61" t="s">
        <v>20</v>
      </c>
      <c r="F18" s="13">
        <f t="shared" si="3"/>
        <v>0</v>
      </c>
      <c r="G18" s="13">
        <f t="shared" si="4"/>
        <v>70.686755925827441</v>
      </c>
      <c r="H18" s="13"/>
      <c r="I18" s="13"/>
      <c r="O18" s="13"/>
      <c r="P18" s="13"/>
    </row>
    <row r="19" spans="4:16" ht="15.75" x14ac:dyDescent="0.25">
      <c r="D19" s="13"/>
      <c r="E19" s="61" t="s">
        <v>21</v>
      </c>
      <c r="F19" s="13">
        <f t="shared" si="3"/>
        <v>1</v>
      </c>
      <c r="G19" s="13">
        <f t="shared" si="4"/>
        <v>90.701989862526432</v>
      </c>
      <c r="H19" s="13"/>
      <c r="I19" s="13"/>
    </row>
    <row r="20" spans="4:16" ht="15.75" x14ac:dyDescent="0.25">
      <c r="D20" s="13"/>
      <c r="E20" s="61" t="s">
        <v>22</v>
      </c>
      <c r="F20" s="13">
        <f t="shared" si="3"/>
        <v>0</v>
      </c>
      <c r="G20" s="13">
        <f t="shared" si="4"/>
        <v>52.345324992281171</v>
      </c>
      <c r="H20" s="13"/>
      <c r="I20" s="13"/>
    </row>
    <row r="21" spans="4:16" ht="15.75" x14ac:dyDescent="0.25">
      <c r="D21" s="13"/>
      <c r="E21" s="61" t="s">
        <v>23</v>
      </c>
      <c r="F21" s="13">
        <f t="shared" si="3"/>
        <v>0</v>
      </c>
      <c r="G21" s="13">
        <f t="shared" si="4"/>
        <v>63.578932606949891</v>
      </c>
      <c r="H21" s="13"/>
      <c r="I21" s="13"/>
    </row>
    <row r="22" spans="4:16" ht="15.75" x14ac:dyDescent="0.25">
      <c r="D22" s="13"/>
      <c r="E22" s="61" t="s">
        <v>24</v>
      </c>
      <c r="F22" s="13">
        <f t="shared" si="3"/>
        <v>0</v>
      </c>
      <c r="G22" s="13">
        <f t="shared" si="4"/>
        <v>51.439517828843137</v>
      </c>
      <c r="H22" s="13"/>
      <c r="I22" s="13"/>
    </row>
    <row r="23" spans="4:16" ht="15.75" x14ac:dyDescent="0.25">
      <c r="D23" s="13"/>
      <c r="E23" s="61" t="s">
        <v>25</v>
      </c>
      <c r="F23" s="13">
        <f t="shared" si="3"/>
        <v>0</v>
      </c>
      <c r="G23" s="13">
        <f t="shared" si="4"/>
        <v>50.674824157551654</v>
      </c>
      <c r="H23" s="13"/>
      <c r="I23" s="13"/>
    </row>
    <row r="24" spans="4:16" ht="15.75" x14ac:dyDescent="0.25">
      <c r="D24" s="13"/>
      <c r="E24" s="61" t="s">
        <v>26</v>
      </c>
      <c r="F24" s="13">
        <f t="shared" si="3"/>
        <v>0</v>
      </c>
      <c r="G24" s="13">
        <f t="shared" si="4"/>
        <v>65.263862543776597</v>
      </c>
      <c r="H24" s="13"/>
      <c r="I24" s="13"/>
    </row>
    <row r="25" spans="4:16" ht="15.75" x14ac:dyDescent="0.25">
      <c r="D25" s="13"/>
      <c r="E25" s="61" t="s">
        <v>27</v>
      </c>
      <c r="F25" s="13">
        <f t="shared" si="3"/>
        <v>0</v>
      </c>
      <c r="G25" s="13">
        <f t="shared" si="4"/>
        <v>26.571083215976266</v>
      </c>
      <c r="H25" s="13"/>
      <c r="I25" s="13"/>
    </row>
    <row r="26" spans="4:16" ht="15.75" x14ac:dyDescent="0.25">
      <c r="D26" s="13"/>
      <c r="E26" s="61" t="s">
        <v>28</v>
      </c>
      <c r="F26" s="13">
        <f t="shared" si="3"/>
        <v>0</v>
      </c>
      <c r="G26" s="13">
        <f t="shared" si="4"/>
        <v>48.214659691707524</v>
      </c>
      <c r="H26" s="13"/>
      <c r="I26" s="13"/>
    </row>
    <row r="27" spans="4:16" x14ac:dyDescent="0.25">
      <c r="D27" s="13"/>
      <c r="E27" s="13"/>
      <c r="F27" s="13"/>
      <c r="G27" s="13"/>
      <c r="H27" s="13"/>
      <c r="I27" s="13"/>
    </row>
    <row r="28" spans="4:16" x14ac:dyDescent="0.25">
      <c r="D28" s="13"/>
      <c r="E28" s="13"/>
      <c r="F28" s="13"/>
      <c r="G28" s="13"/>
      <c r="H28" s="13"/>
      <c r="I28" s="13"/>
    </row>
    <row r="29" spans="4:16" x14ac:dyDescent="0.25">
      <c r="D29" s="13"/>
      <c r="E29" s="13"/>
      <c r="F29" s="13"/>
      <c r="G29" s="13"/>
      <c r="H29" s="13"/>
    </row>
    <row r="30" spans="4:16" x14ac:dyDescent="0.25">
      <c r="D30" s="13"/>
      <c r="E30" s="13"/>
      <c r="F30" s="13"/>
      <c r="G30" s="13"/>
      <c r="H30" s="13"/>
    </row>
    <row r="31" spans="4:16" x14ac:dyDescent="0.25">
      <c r="D31" s="13"/>
      <c r="E31" s="13"/>
      <c r="F31" s="13"/>
      <c r="G31" s="13"/>
      <c r="H31" s="13"/>
    </row>
    <row r="32" spans="4:16" x14ac:dyDescent="0.25">
      <c r="D32" s="13"/>
      <c r="E32" s="13"/>
      <c r="F32" s="13"/>
      <c r="G32" s="13"/>
      <c r="H32" s="13"/>
    </row>
    <row r="33" spans="4:8" x14ac:dyDescent="0.25">
      <c r="D33" s="13"/>
      <c r="E33" s="13"/>
      <c r="F33" s="13"/>
      <c r="G33" s="13"/>
      <c r="H33" s="13"/>
    </row>
    <row r="34" spans="4:8" x14ac:dyDescent="0.25">
      <c r="D34" s="13"/>
      <c r="E34" s="13"/>
      <c r="F34" s="13"/>
      <c r="G34" s="13"/>
      <c r="H34" s="13"/>
    </row>
    <row r="35" spans="4:8" x14ac:dyDescent="0.25">
      <c r="D35" s="13"/>
      <c r="E35" s="13"/>
      <c r="F35" s="13"/>
      <c r="G35" s="13"/>
      <c r="H35" s="13"/>
    </row>
    <row r="36" spans="4:8" x14ac:dyDescent="0.25">
      <c r="D36" s="13"/>
      <c r="E36" s="13"/>
      <c r="F36" s="13"/>
      <c r="G36" s="13"/>
      <c r="H36" s="13"/>
    </row>
    <row r="37" spans="4:8" x14ac:dyDescent="0.25">
      <c r="D37" s="13"/>
      <c r="E37" s="13"/>
      <c r="F37" s="13"/>
      <c r="G37" s="13"/>
      <c r="H37" s="13"/>
    </row>
    <row r="38" spans="4:8" x14ac:dyDescent="0.25">
      <c r="D38" s="13"/>
      <c r="E38" s="13"/>
      <c r="F38" s="13"/>
      <c r="G38" s="13"/>
      <c r="H38" s="13"/>
    </row>
    <row r="39" spans="4:8" x14ac:dyDescent="0.25">
      <c r="D39" s="13"/>
      <c r="E39" s="13"/>
      <c r="F39" s="13"/>
      <c r="G39" s="13"/>
      <c r="H39" s="13"/>
    </row>
    <row r="40" spans="4:8" x14ac:dyDescent="0.25">
      <c r="D40" s="13"/>
      <c r="E40" s="13"/>
      <c r="F40" s="13"/>
      <c r="G40" s="13"/>
      <c r="H40" s="13"/>
    </row>
  </sheetData>
  <mergeCells count="12">
    <mergeCell ref="C2:C3"/>
    <mergeCell ref="B2:B3"/>
    <mergeCell ref="N2:N3"/>
    <mergeCell ref="F1:H1"/>
    <mergeCell ref="I1:J1"/>
    <mergeCell ref="K2:K3"/>
    <mergeCell ref="L2:L3"/>
    <mergeCell ref="D2:D3"/>
    <mergeCell ref="E2:E3"/>
    <mergeCell ref="F2:F3"/>
    <mergeCell ref="G2:I2"/>
    <mergeCell ref="J2:J3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in="0" type="column" displayEmptyCellsAs="gap" minAxisType="custom" xr2:uid="{00000000-0003-0000-0000-000001000000}">
          <x14:colorSeries rgb="FF00B0F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PM_Risk_10_hist_data</xm:f>
              <xm:sqref>J14</xm:sqref>
            </x14:sparkline>
          </x14:sparklines>
        </x14:sparklineGroup>
        <x14:sparklineGroup manualMin="0" type="column" displayEmptyCellsAs="gap" minAxisType="custom" xr2:uid="{00000000-0003-0000-0000-000002000000}">
          <x14:colorSeries rgb="FF00B0F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PM_Risk_9_hist_data</xm:f>
              <xm:sqref>J13</xm:sqref>
            </x14:sparkline>
          </x14:sparklines>
        </x14:sparklineGroup>
        <x14:sparklineGroup manualMin="0" type="column" displayEmptyCellsAs="gap" minAxisType="custom" xr2:uid="{00000000-0003-0000-0000-000003000000}">
          <x14:colorSeries rgb="FF00B0F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PM_Risk_8_hist_data</xm:f>
              <xm:sqref>J12</xm:sqref>
            </x14:sparkline>
          </x14:sparklines>
        </x14:sparklineGroup>
        <x14:sparklineGroup manualMin="0" type="column" displayEmptyCellsAs="gap" minAxisType="custom" xr2:uid="{00000000-0003-0000-0000-000004000000}">
          <x14:colorSeries rgb="FF00B0F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PM_Risk_7_hist_data</xm:f>
              <xm:sqref>J11</xm:sqref>
            </x14:sparkline>
          </x14:sparklines>
        </x14:sparklineGroup>
        <x14:sparklineGroup manualMin="0" type="column" displayEmptyCellsAs="gap" minAxisType="custom" xr2:uid="{00000000-0003-0000-0000-000005000000}">
          <x14:colorSeries rgb="FF00B0F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PM_Risk_6_hist_data</xm:f>
              <xm:sqref>J10</xm:sqref>
            </x14:sparkline>
          </x14:sparklines>
        </x14:sparklineGroup>
        <x14:sparklineGroup manualMin="0" type="column" displayEmptyCellsAs="gap" minAxisType="custom" xr2:uid="{00000000-0003-0000-0000-000006000000}">
          <x14:colorSeries rgb="FF00B0F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PM_Risk_5_hist_data</xm:f>
              <xm:sqref>J9</xm:sqref>
            </x14:sparkline>
          </x14:sparklines>
        </x14:sparklineGroup>
        <x14:sparklineGroup manualMin="0" type="column" displayEmptyCellsAs="gap" minAxisType="custom" xr2:uid="{00000000-0003-0000-0000-000007000000}">
          <x14:colorSeries rgb="FF00B0F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PM_Risk_4_hist_data</xm:f>
              <xm:sqref>J8</xm:sqref>
            </x14:sparkline>
          </x14:sparklines>
        </x14:sparklineGroup>
        <x14:sparklineGroup manualMin="0" type="column" displayEmptyCellsAs="gap" minAxisType="custom" xr2:uid="{00000000-0003-0000-0000-000008000000}">
          <x14:colorSeries rgb="FF00B0F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PM_Risk_3_hist_data</xm:f>
              <xm:sqref>J7</xm:sqref>
            </x14:sparkline>
          </x14:sparklines>
        </x14:sparklineGroup>
        <x14:sparklineGroup manualMin="0" type="column" displayEmptyCellsAs="gap" minAxisType="custom" xr2:uid="{00000000-0003-0000-0000-000009000000}">
          <x14:colorSeries rgb="FF00B0F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PM_Risk_2_hist_data</xm:f>
              <xm:sqref>J6</xm:sqref>
            </x14:sparkline>
          </x14:sparklines>
        </x14:sparklineGroup>
        <x14:sparklineGroup manualMin="0" type="column" displayEmptyCellsAs="gap" minAxisType="custom" xr2:uid="{00000000-0003-0000-0000-00000A000000}">
          <x14:colorSeries rgb="FF00B0F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PM_Risk_1_hist_data</xm:f>
              <xm:sqref>J5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Y223"/>
  <sheetViews>
    <sheetView zoomScale="70" zoomScaleNormal="70" workbookViewId="0">
      <selection activeCell="U6" sqref="U6"/>
    </sheetView>
  </sheetViews>
  <sheetFormatPr defaultColWidth="9.140625" defaultRowHeight="15" outlineLevelRow="1" x14ac:dyDescent="0.25"/>
  <cols>
    <col min="1" max="1" width="1.7109375" style="13" customWidth="1"/>
    <col min="2" max="2" width="7.42578125" style="1" customWidth="1"/>
    <col min="3" max="3" width="50" style="1" customWidth="1"/>
    <col min="4" max="4" width="28" style="1" customWidth="1"/>
    <col min="5" max="5" width="24" style="1" customWidth="1"/>
    <col min="6" max="6" width="32" style="1" customWidth="1"/>
    <col min="7" max="7" width="15.42578125" style="1" customWidth="1"/>
    <col min="8" max="8" width="22.28515625" style="1" customWidth="1"/>
    <col min="9" max="9" width="21.140625" style="1" customWidth="1"/>
    <col min="10" max="10" width="23.42578125" style="1" customWidth="1"/>
    <col min="11" max="11" width="20.85546875" style="1" customWidth="1"/>
    <col min="12" max="12" width="12.5703125" style="1" customWidth="1"/>
    <col min="13" max="17" width="9.140625" style="1"/>
    <col min="18" max="18" width="9.140625" style="1" customWidth="1"/>
    <col min="19" max="19" width="5.5703125" style="1" customWidth="1"/>
    <col min="20" max="20" width="14.28515625" style="1" customWidth="1"/>
    <col min="21" max="21" width="14.42578125" style="1" customWidth="1"/>
    <col min="22" max="22" width="6.7109375" style="1" customWidth="1"/>
    <col min="23" max="23" width="5.42578125" style="1" customWidth="1"/>
    <col min="24" max="24" width="14.42578125" style="1" customWidth="1"/>
    <col min="25" max="25" width="13.85546875" style="1" customWidth="1"/>
    <col min="26" max="16384" width="9.140625" style="1"/>
  </cols>
  <sheetData>
    <row r="1" spans="1:25" ht="57.75" customHeight="1" thickBot="1" x14ac:dyDescent="0.3"/>
    <row r="2" spans="1:25" ht="31.5" customHeight="1" thickTop="1" thickBot="1" x14ac:dyDescent="0.35">
      <c r="B2" s="101" t="s">
        <v>79</v>
      </c>
      <c r="C2" s="101"/>
      <c r="D2" s="102"/>
      <c r="E2" s="105"/>
      <c r="F2" s="106"/>
      <c r="G2" s="106"/>
      <c r="H2" s="107"/>
      <c r="I2" s="103"/>
      <c r="J2" s="103"/>
      <c r="S2" s="49" t="s">
        <v>64</v>
      </c>
      <c r="W2" s="49" t="s">
        <v>65</v>
      </c>
    </row>
    <row r="3" spans="1:25" ht="19.5" thickBot="1" x14ac:dyDescent="0.3">
      <c r="B3" s="12" t="s">
        <v>0</v>
      </c>
      <c r="C3" s="12" t="s">
        <v>11</v>
      </c>
      <c r="D3" s="12" t="s">
        <v>12</v>
      </c>
      <c r="E3" s="16"/>
      <c r="F3" s="2"/>
      <c r="G3" s="2"/>
      <c r="H3" s="108"/>
      <c r="I3" s="104"/>
      <c r="J3" s="104"/>
      <c r="T3" s="53" t="s">
        <v>66</v>
      </c>
      <c r="U3" s="54" t="s">
        <v>67</v>
      </c>
      <c r="X3" s="53" t="s">
        <v>66</v>
      </c>
      <c r="Y3" s="54" t="s">
        <v>67</v>
      </c>
    </row>
    <row r="4" spans="1:25" ht="34.5" customHeight="1" thickBot="1" x14ac:dyDescent="0.35">
      <c r="A4" s="14">
        <v>1</v>
      </c>
      <c r="B4" s="11">
        <f>IFERROR(VLOOKUP(A4,Риск_калькулятор!$A$5:$E$14,2,FALSE),"")</f>
        <v>1003</v>
      </c>
      <c r="C4" s="9" t="str">
        <f>IFERROR(VLOOKUP($B4,Риск_калькулятор!$B$5:$E$14,4,0),"")</f>
        <v>Недостижение показателей по привлечению средств установленный в срок</v>
      </c>
      <c r="D4" s="37">
        <f>IFERROR(VLOOKUP($B4,Риск_калькулятор!$B$5:$K$14,10,0),"")</f>
        <v>67.883668689846147</v>
      </c>
      <c r="E4" s="17"/>
      <c r="F4" s="2"/>
      <c r="G4" s="5"/>
      <c r="H4" s="6"/>
      <c r="I4" s="3"/>
      <c r="S4" s="51">
        <v>1</v>
      </c>
      <c r="T4" s="55">
        <v>0</v>
      </c>
      <c r="U4" s="83">
        <v>0.1</v>
      </c>
      <c r="W4" s="51">
        <v>1</v>
      </c>
      <c r="X4" s="84">
        <v>0</v>
      </c>
      <c r="Y4" s="50">
        <f>X5</f>
        <v>30</v>
      </c>
    </row>
    <row r="5" spans="1:25" ht="34.5" customHeight="1" thickBot="1" x14ac:dyDescent="0.35">
      <c r="A5" s="14">
        <v>2</v>
      </c>
      <c r="B5" s="11">
        <f>IFERROR(VLOOKUP(A5,Риск_калькулятор!$A$5:$E$14,2,FALSE),"")</f>
        <v>1002</v>
      </c>
      <c r="C5" s="9" t="str">
        <f>IFERROR(VLOOKUP($B5,Риск_калькулятор!$B$5:$E$14,4,0),"")</f>
        <v>Уход ключевого персонала</v>
      </c>
      <c r="D5" s="37">
        <f>IFERROR(VLOOKUP($B5,Риск_калькулятор!$B$5:$K$14,10,0),"")</f>
        <v>62.832175378772398</v>
      </c>
      <c r="E5" s="17"/>
      <c r="F5" s="3"/>
      <c r="G5" s="5"/>
      <c r="H5" s="6"/>
      <c r="I5" s="3"/>
      <c r="S5" s="51">
        <v>2</v>
      </c>
      <c r="T5" s="55">
        <f>U4</f>
        <v>0.1</v>
      </c>
      <c r="U5" s="83">
        <v>0.4</v>
      </c>
      <c r="W5" s="51">
        <v>2</v>
      </c>
      <c r="X5" s="84">
        <v>30</v>
      </c>
      <c r="Y5" s="50">
        <f t="shared" ref="Y5:Y7" si="0">X6</f>
        <v>70</v>
      </c>
    </row>
    <row r="6" spans="1:25" ht="34.5" customHeight="1" thickBot="1" x14ac:dyDescent="0.35">
      <c r="A6" s="14">
        <v>3</v>
      </c>
      <c r="B6" s="11">
        <f>IFERROR(VLOOKUP(A6,Риск_калькулятор!$A$5:$E$14,2,FALSE),"")</f>
        <v>1001</v>
      </c>
      <c r="C6" s="9" t="str">
        <f>IFERROR(VLOOKUP($B6,Риск_калькулятор!$B$5:$E$14,4,0),"")</f>
        <v>Техническая неисправность оборудования</v>
      </c>
      <c r="D6" s="37">
        <f>IFERROR(VLOOKUP($B6,Риск_калькулятор!$B$5:$K$14,10,0),"")</f>
        <v>38.858980220844145</v>
      </c>
      <c r="E6" s="17"/>
      <c r="F6" s="3"/>
      <c r="G6" s="5"/>
      <c r="H6" s="6"/>
      <c r="I6" s="3"/>
      <c r="S6" s="51">
        <v>3</v>
      </c>
      <c r="T6" s="55">
        <f>U5</f>
        <v>0.4</v>
      </c>
      <c r="U6" s="83">
        <v>0.6</v>
      </c>
      <c r="W6" s="51">
        <v>3</v>
      </c>
      <c r="X6" s="84">
        <v>70</v>
      </c>
      <c r="Y6" s="50">
        <f t="shared" si="0"/>
        <v>110</v>
      </c>
    </row>
    <row r="7" spans="1:25" ht="34.5" customHeight="1" thickBot="1" x14ac:dyDescent="0.35">
      <c r="A7" s="14">
        <v>4</v>
      </c>
      <c r="B7" s="11">
        <f>IFERROR(VLOOKUP(A7,Риск_калькулятор!$A$5:$E$14,2,FALSE),"")</f>
        <v>1009</v>
      </c>
      <c r="C7" s="9" t="str">
        <f>IFERROR(VLOOKUP($B7,Риск_калькулятор!$B$5:$E$14,4,0),"")</f>
        <v>Risk 9</v>
      </c>
      <c r="D7" s="37">
        <f>IFERROR(VLOOKUP($B7,Риск_калькулятор!$B$5:$K$14,10,0),"")</f>
        <v>35.735753069113436</v>
      </c>
      <c r="E7" s="17"/>
      <c r="F7" s="3"/>
      <c r="G7" s="5"/>
      <c r="H7" s="6"/>
      <c r="I7" s="3"/>
      <c r="S7" s="51">
        <v>4</v>
      </c>
      <c r="T7" s="55">
        <f>U6</f>
        <v>0.6</v>
      </c>
      <c r="U7" s="83">
        <v>0.8</v>
      </c>
      <c r="W7" s="51">
        <v>4</v>
      </c>
      <c r="X7" s="84">
        <v>110</v>
      </c>
      <c r="Y7" s="50">
        <f t="shared" si="0"/>
        <v>150</v>
      </c>
    </row>
    <row r="8" spans="1:25" ht="34.5" customHeight="1" thickBot="1" x14ac:dyDescent="0.35">
      <c r="A8" s="14">
        <v>5</v>
      </c>
      <c r="B8" s="11">
        <f>IFERROR(VLOOKUP(A8,Риск_калькулятор!$A$5:$E$14,2,FALSE),"")</f>
        <v>1004</v>
      </c>
      <c r="C8" s="9" t="str">
        <f>IFERROR(VLOOKUP($B8,Риск_калькулятор!$B$5:$E$14,4,0),"")</f>
        <v>Risk 4</v>
      </c>
      <c r="D8" s="37">
        <f>IFERROR(VLOOKUP($B8,Риск_калькулятор!$B$5:$K$14,10,0),"")</f>
        <v>35.099611422931773</v>
      </c>
      <c r="E8" s="17"/>
      <c r="F8" s="3"/>
      <c r="G8" s="4"/>
      <c r="H8" s="6"/>
      <c r="I8" s="3"/>
      <c r="S8" s="51">
        <v>5</v>
      </c>
      <c r="T8" s="55">
        <f>U7</f>
        <v>0.8</v>
      </c>
      <c r="U8" s="83">
        <v>1</v>
      </c>
      <c r="W8" s="51">
        <v>5</v>
      </c>
      <c r="X8" s="84">
        <v>150</v>
      </c>
      <c r="Y8" s="50"/>
    </row>
    <row r="9" spans="1:25" ht="34.5" customHeight="1" thickBot="1" x14ac:dyDescent="0.3">
      <c r="A9" s="14">
        <v>6</v>
      </c>
      <c r="B9" s="11">
        <f>IFERROR(VLOOKUP(A9,Риск_калькулятор!$A$5:$E$14,2,FALSE),"")</f>
        <v>1007</v>
      </c>
      <c r="C9" s="9" t="str">
        <f>IFERROR(VLOOKUP($B9,Риск_калькулятор!$B$5:$E$14,4,0),"")</f>
        <v>Risk 7</v>
      </c>
      <c r="D9" s="37">
        <f>IFERROR(VLOOKUP($B9,Риск_калькулятор!$B$5:$K$14,10,0),"")</f>
        <v>18.481277512895474</v>
      </c>
      <c r="E9" s="17"/>
      <c r="F9" s="3"/>
      <c r="G9" s="4"/>
      <c r="H9" s="6"/>
      <c r="I9" s="3"/>
    </row>
    <row r="10" spans="1:25" ht="34.5" customHeight="1" thickBot="1" x14ac:dyDescent="0.3">
      <c r="A10" s="14">
        <v>7</v>
      </c>
      <c r="B10" s="11">
        <f>IFERROR(VLOOKUP(A10,Риск_калькулятор!$A$5:$E$14,2,FALSE),"")</f>
        <v>1006</v>
      </c>
      <c r="C10" s="9" t="str">
        <f>IFERROR(VLOOKUP($B10,Риск_калькулятор!$B$5:$E$14,4,0),"")</f>
        <v>Risk 6</v>
      </c>
      <c r="D10" s="37">
        <f>IFERROR(VLOOKUP($B10,Риск_калькулятор!$B$5:$K$14,10,0),"")</f>
        <v>10.024147316101484</v>
      </c>
      <c r="E10" s="17"/>
      <c r="F10" s="3"/>
      <c r="G10" s="4"/>
      <c r="H10" s="6"/>
      <c r="I10" s="3"/>
    </row>
    <row r="11" spans="1:25" ht="34.5" customHeight="1" thickBot="1" x14ac:dyDescent="0.3">
      <c r="A11" s="14">
        <v>8</v>
      </c>
      <c r="B11" s="11">
        <f>IFERROR(VLOOKUP(A11,Риск_калькулятор!$A$5:$E$14,2,FALSE),"")</f>
        <v>1008</v>
      </c>
      <c r="C11" s="9" t="str">
        <f>IFERROR(VLOOKUP($B11,Риск_калькулятор!$B$5:$E$14,4,0),"")</f>
        <v>Risk 8</v>
      </c>
      <c r="D11" s="37">
        <f>IFERROR(VLOOKUP($B11,Риск_калькулятор!$B$5:$K$14,10,0),"")</f>
        <v>8.214244930495731</v>
      </c>
      <c r="E11" s="17"/>
      <c r="F11" s="3"/>
      <c r="G11" s="4"/>
      <c r="H11" s="6"/>
      <c r="I11" s="3"/>
    </row>
    <row r="12" spans="1:25" ht="34.5" customHeight="1" thickBot="1" x14ac:dyDescent="0.3">
      <c r="A12" s="14">
        <v>9</v>
      </c>
      <c r="B12" s="11">
        <f>IFERROR(VLOOKUP(A12,Риск_калькулятор!$A$5:$E$14,2,FALSE),"")</f>
        <v>1005</v>
      </c>
      <c r="C12" s="9" t="str">
        <f>IFERROR(VLOOKUP($B12,Риск_калькулятор!$B$5:$E$14,4,0),"")</f>
        <v>Risk 5</v>
      </c>
      <c r="D12" s="37">
        <f>IFERROR(VLOOKUP($B12,Риск_калькулятор!$B$5:$K$14,10,0),"")</f>
        <v>4.5730083392326462</v>
      </c>
      <c r="E12" s="17"/>
      <c r="F12" s="3"/>
      <c r="G12" s="4"/>
      <c r="H12" s="6"/>
      <c r="I12" s="3"/>
    </row>
    <row r="13" spans="1:25" ht="34.5" customHeight="1" thickBot="1" x14ac:dyDescent="0.3">
      <c r="A13" s="14">
        <v>10</v>
      </c>
      <c r="B13" s="11">
        <f>IFERROR(VLOOKUP(A13,Риск_калькулятор!$A$5:$E$14,2,FALSE),"")</f>
        <v>1010</v>
      </c>
      <c r="C13" s="9" t="str">
        <f>IFERROR(VLOOKUP($B13,Риск_калькулятор!$B$5:$E$14,4,0),"")</f>
        <v>Risk 10</v>
      </c>
      <c r="D13" s="37">
        <f>IFERROR(VLOOKUP($B13,Риск_калькулятор!$B$5:$K$14,10,0),"")</f>
        <v>4.1725150559405648</v>
      </c>
      <c r="E13" s="17"/>
      <c r="F13" s="3"/>
      <c r="G13" s="4"/>
      <c r="H13" s="6"/>
      <c r="I13" s="3"/>
    </row>
    <row r="14" spans="1:25" s="13" customFormat="1" ht="41.25" customHeight="1" thickBot="1" x14ac:dyDescent="0.3">
      <c r="A14" s="14" t="str">
        <f>IFERROR(_xlfn.RANK.EQ(Риск_калькулятор!$K16,Риск_калькулятор!$K$5:$K$23),"")</f>
        <v/>
      </c>
      <c r="B14" s="38" t="str">
        <f>IFERROR(INDEX(Риск_калькулятор!$D$5:$D$14,MATCH(Графики!$A14,Риск_калькулятор!#REF!,0)),"")</f>
        <v/>
      </c>
      <c r="C14" s="47" t="str">
        <f>IFERROR(VLOOKUP($B14,Риск_калькулятор!$D$5:$E$14,2,0),"")</f>
        <v/>
      </c>
    </row>
    <row r="15" spans="1:25" s="13" customFormat="1" x14ac:dyDescent="0.25">
      <c r="A15" s="15" t="str">
        <f>IFERROR(_xlfn.RANK.EQ(Риск_калькулятор!$K17,Риск_калькулятор!$K$5:$K$23),"")</f>
        <v/>
      </c>
      <c r="B15" s="81" t="s">
        <v>78</v>
      </c>
      <c r="C15" s="82"/>
      <c r="D15" s="68"/>
    </row>
    <row r="16" spans="1:25" s="39" customFormat="1" ht="27" outlineLevel="1" x14ac:dyDescent="0.35">
      <c r="C16" s="41"/>
      <c r="D16" s="42" t="s">
        <v>13</v>
      </c>
      <c r="E16" s="42" t="s">
        <v>14</v>
      </c>
      <c r="F16" s="42" t="s">
        <v>15</v>
      </c>
      <c r="G16" s="42"/>
      <c r="H16" s="42"/>
      <c r="I16" s="42"/>
      <c r="J16" s="48" t="s">
        <v>16</v>
      </c>
      <c r="K16" s="48" t="s">
        <v>17</v>
      </c>
      <c r="L16" s="42"/>
      <c r="M16" s="42"/>
      <c r="N16" s="42"/>
      <c r="O16" s="42"/>
      <c r="P16" s="42"/>
      <c r="Q16" s="42"/>
    </row>
    <row r="17" spans="3:14" s="39" customFormat="1" ht="21" outlineLevel="1" x14ac:dyDescent="0.35">
      <c r="C17" s="43" t="str">
        <f>Риск_калькулятор!D5</f>
        <v>R1</v>
      </c>
      <c r="D17" s="44">
        <f>IF(AND(Риск_калькулятор!F5&gt;$T$5,Риск_калькулятор!F5&lt;$U$5),2,IF(AND(Риск_калькулятор!F5&gt;$T$6,Риск_калькулятор!F5&lt;$U$6),3,IF(AND(Риск_калькулятор!F5&gt;$T$7,Риск_калькулятор!F5&lt;$U$7),4,IF(Риск_калькулятор!F5&gt;$T$8,5,1))))</f>
        <v>5</v>
      </c>
      <c r="E17" s="44">
        <f>IF(AND(Риск_калькулятор!M5&gt;$X$5,Риск_калькулятор!M5&lt;$Y$5),2,IF(AND(Риск_калькулятор!M5&gt;$X$6,Риск_калькулятор!M5&lt;$Y$6),3,IF(AND(Риск_калькулятор!M5&gt;$X$7,Риск_калькулятор!M5&lt;$Y$7),4,IF(Риск_калькулятор!M5&gt;$X$8,5,1))))</f>
        <v>2</v>
      </c>
      <c r="F17" s="44">
        <f>D17*(E17*10+2)</f>
        <v>110</v>
      </c>
      <c r="G17" s="44"/>
      <c r="H17" s="44">
        <f>VLOOKUP(F17,$C$42:$D$66,2,1)</f>
        <v>0</v>
      </c>
      <c r="I17" s="45">
        <f>0.5*(H17=1)+1/(H17+1)*(H17&gt;1)</f>
        <v>0</v>
      </c>
      <c r="J17" s="45">
        <f>D17-1+0.5*(L17=0)+I17*L17</f>
        <v>4.5</v>
      </c>
      <c r="K17" s="45">
        <f>E17-0.5</f>
        <v>1.5</v>
      </c>
      <c r="L17" s="44">
        <f>(COUNTIFS($F16:$F$17,F17)+1)*(H17&gt;1)+0</f>
        <v>0</v>
      </c>
      <c r="M17" s="44"/>
      <c r="N17" s="44"/>
    </row>
    <row r="18" spans="3:14" s="39" customFormat="1" ht="21" outlineLevel="1" x14ac:dyDescent="0.35">
      <c r="C18" s="43" t="str">
        <f>Риск_калькулятор!D6</f>
        <v>R2</v>
      </c>
      <c r="D18" s="44">
        <f>IF(AND(Риск_калькулятор!F6&gt;$T$5,Риск_калькулятор!F6&lt;$U$5),2,IF(AND(Риск_калькулятор!F6&gt;$T$6,Риск_калькулятор!F6&lt;$U$6),3,IF(AND(Риск_калькулятор!F6&gt;$T$7,Риск_калькулятор!F6&lt;$U$7),4,IF(Риск_калькулятор!F6&gt;$T$8,5,1))))</f>
        <v>5</v>
      </c>
      <c r="E18" s="44">
        <f>IF(AND(Риск_калькулятор!M6&gt;$X$5,Риск_калькулятор!M6&lt;$Y$5),2,IF(AND(Риск_калькулятор!M6&gt;$X$6,Риск_калькулятор!M6&lt;$Y$6),3,IF(AND(Риск_калькулятор!M6&gt;$X$7,Риск_калькулятор!M6&lt;$Y$7),4,IF(Риск_калькулятор!M6&gt;$X$8,5,1))))</f>
        <v>3</v>
      </c>
      <c r="F18" s="44">
        <f t="shared" ref="F18:F25" si="1">D18*(E18*10+2)</f>
        <v>160</v>
      </c>
      <c r="G18" s="44"/>
      <c r="H18" s="44">
        <f t="shared" ref="H18:H26" si="2">VLOOKUP(F18,$C$42:$D$66,2,1)</f>
        <v>0</v>
      </c>
      <c r="I18" s="45">
        <f t="shared" ref="I18:I26" si="3">0.5*(H18=1)+1/(H18+1)*(H18&gt;1)</f>
        <v>0</v>
      </c>
      <c r="J18" s="45">
        <f t="shared" ref="J18:J26" si="4">D18-1+0.5*(L18=0)+I18*L18</f>
        <v>4.5</v>
      </c>
      <c r="K18" s="45">
        <f t="shared" ref="K18:K26" si="5">E18-0.5</f>
        <v>2.5</v>
      </c>
      <c r="L18" s="44">
        <f>(COUNTIFS($F17:$F$17,F18)+1)*(H18&gt;1)+0</f>
        <v>0</v>
      </c>
      <c r="M18" s="44"/>
      <c r="N18" s="44"/>
    </row>
    <row r="19" spans="3:14" s="39" customFormat="1" ht="21" outlineLevel="1" x14ac:dyDescent="0.35">
      <c r="C19" s="43" t="str">
        <f>Риск_калькулятор!D7</f>
        <v>R3</v>
      </c>
      <c r="D19" s="44">
        <f>IF(AND(Риск_калькулятор!F7&gt;$T$5,Риск_калькулятор!F7&lt;$U$5),2,IF(AND(Риск_калькулятор!F7&gt;$T$6,Риск_калькулятор!F7&lt;$U$6),3,IF(AND(Риск_калькулятор!F7&gt;$T$7,Риск_калькулятор!F7&lt;$U$7),4,IF(Риск_калькулятор!F7&gt;$T$8,5,1))))</f>
        <v>4</v>
      </c>
      <c r="E19" s="44">
        <f>IF(AND(Риск_калькулятор!M7&gt;$X$5,Риск_калькулятор!M7&lt;$Y$5),2,IF(AND(Риск_калькулятор!M7&gt;$X$6,Риск_калькулятор!M7&lt;$Y$6),3,IF(AND(Риск_калькулятор!M7&gt;$X$7,Риск_калькулятор!M7&lt;$Y$7),4,IF(Риск_калькулятор!M7&gt;$X$8,5,1))))</f>
        <v>4</v>
      </c>
      <c r="F19" s="44">
        <f t="shared" si="1"/>
        <v>168</v>
      </c>
      <c r="G19" s="44"/>
      <c r="H19" s="44">
        <f t="shared" si="2"/>
        <v>1</v>
      </c>
      <c r="I19" s="45">
        <f t="shared" si="3"/>
        <v>0.5</v>
      </c>
      <c r="J19" s="45">
        <f t="shared" si="4"/>
        <v>3.5</v>
      </c>
      <c r="K19" s="45">
        <f t="shared" si="5"/>
        <v>3.5</v>
      </c>
      <c r="L19" s="44">
        <f>(COUNTIFS($F$17:$F18,F19)+1)*(H19&gt;1)+0</f>
        <v>0</v>
      </c>
      <c r="M19" s="44"/>
      <c r="N19" s="44"/>
    </row>
    <row r="20" spans="3:14" s="39" customFormat="1" ht="21" outlineLevel="1" x14ac:dyDescent="0.35">
      <c r="C20" s="43" t="str">
        <f>Риск_калькулятор!D8</f>
        <v>R4</v>
      </c>
      <c r="D20" s="44">
        <f>IF(AND(Риск_калькулятор!F8&gt;$T$5,Риск_калькулятор!F8&lt;$U$5),2,IF(AND(Риск_калькулятор!F8&gt;$T$6,Риск_калькулятор!F8&lt;$U$6),3,IF(AND(Риск_калькулятор!F8&gt;$T$7,Риск_калькулятор!F8&lt;$U$7),4,IF(Риск_калькулятор!F8&gt;$T$8,5,1))))</f>
        <v>1</v>
      </c>
      <c r="E20" s="44">
        <f>IF(AND(Риск_калькулятор!M8&gt;$X$5,Риск_калькулятор!M8&lt;$Y$5),2,IF(AND(Риск_калькулятор!M8&gt;$X$6,Риск_калькулятор!M8&lt;$Y$6),3,IF(AND(Риск_калькулятор!M8&gt;$X$7,Риск_калькулятор!M8&lt;$Y$7),4,IF(Риск_калькулятор!M8&gt;$X$8,5,1))))</f>
        <v>2</v>
      </c>
      <c r="F20" s="44">
        <f t="shared" si="1"/>
        <v>22</v>
      </c>
      <c r="G20" s="44"/>
      <c r="H20" s="44">
        <f t="shared" si="2"/>
        <v>4</v>
      </c>
      <c r="I20" s="45">
        <f t="shared" si="3"/>
        <v>0.2</v>
      </c>
      <c r="J20" s="45">
        <f t="shared" si="4"/>
        <v>0.2</v>
      </c>
      <c r="K20" s="45">
        <f t="shared" si="5"/>
        <v>1.5</v>
      </c>
      <c r="L20" s="44">
        <f>(COUNTIFS($F$17:$F19,F20)+1)*(H20&gt;1)+0</f>
        <v>1</v>
      </c>
      <c r="M20" s="44"/>
      <c r="N20" s="44"/>
    </row>
    <row r="21" spans="3:14" s="39" customFormat="1" ht="21" outlineLevel="1" x14ac:dyDescent="0.35">
      <c r="C21" s="43" t="str">
        <f>Риск_калькулятор!D9</f>
        <v>R5</v>
      </c>
      <c r="D21" s="44">
        <f>IF(AND(Риск_калькулятор!F9&gt;$T$5,Риск_калькулятор!F9&lt;$U$5),2,IF(AND(Риск_калькулятор!F9&gt;$T$6,Риск_калькулятор!F9&lt;$U$6),3,IF(AND(Риск_калькулятор!F9&gt;$T$7,Риск_калькулятор!F9&lt;$U$7),4,IF(Риск_калькулятор!F9&gt;$T$8,5,1))))</f>
        <v>1</v>
      </c>
      <c r="E21" s="44">
        <f>IF(AND(Риск_калькулятор!M9&gt;$X$5,Риск_калькулятор!M9&lt;$Y$5),2,IF(AND(Риск_калькулятор!M9&gt;$X$6,Риск_калькулятор!M9&lt;$Y$6),3,IF(AND(Риск_калькулятор!M9&gt;$X$7,Риск_калькулятор!M9&lt;$Y$7),4,IF(Риск_калькулятор!M9&gt;$X$8,5,1))))</f>
        <v>2</v>
      </c>
      <c r="F21" s="44">
        <f t="shared" si="1"/>
        <v>22</v>
      </c>
      <c r="G21" s="44"/>
      <c r="H21" s="44">
        <f t="shared" si="2"/>
        <v>4</v>
      </c>
      <c r="I21" s="45">
        <f t="shared" si="3"/>
        <v>0.2</v>
      </c>
      <c r="J21" s="45">
        <f t="shared" si="4"/>
        <v>0.4</v>
      </c>
      <c r="K21" s="45">
        <f t="shared" si="5"/>
        <v>1.5</v>
      </c>
      <c r="L21" s="44">
        <f>(COUNTIFS($F$17:$F20,F21)+1)*(H21&gt;1)+0</f>
        <v>2</v>
      </c>
      <c r="M21" s="44"/>
      <c r="N21" s="44"/>
    </row>
    <row r="22" spans="3:14" s="39" customFormat="1" ht="21" outlineLevel="1" x14ac:dyDescent="0.35">
      <c r="C22" s="43" t="str">
        <f>Риск_калькулятор!D10</f>
        <v>R6</v>
      </c>
      <c r="D22" s="44">
        <f>IF(AND(Риск_калькулятор!F10&gt;$T$5,Риск_калькулятор!F10&lt;$U$5),2,IF(AND(Риск_калькулятор!F10&gt;$T$6,Риск_калькулятор!F10&lt;$U$6),3,IF(AND(Риск_калькулятор!F10&gt;$T$7,Риск_калькулятор!F10&lt;$U$7),4,IF(Риск_калькулятор!F10&gt;$T$8,5,1))))</f>
        <v>2</v>
      </c>
      <c r="E22" s="44">
        <f>IF(AND(Риск_калькулятор!M10&gt;$X$5,Риск_калькулятор!M10&lt;$Y$5),2,IF(AND(Риск_калькулятор!M10&gt;$X$6,Риск_калькулятор!M10&lt;$Y$6),3,IF(AND(Риск_калькулятор!M10&gt;$X$7,Риск_калькулятор!M10&lt;$Y$7),4,IF(Риск_калькулятор!M10&gt;$X$8,5,1))))</f>
        <v>2</v>
      </c>
      <c r="F22" s="44">
        <f t="shared" si="1"/>
        <v>44</v>
      </c>
      <c r="G22" s="44"/>
      <c r="H22" s="44">
        <f t="shared" si="2"/>
        <v>2</v>
      </c>
      <c r="I22" s="45">
        <f t="shared" si="3"/>
        <v>0.33333333333333331</v>
      </c>
      <c r="J22" s="45">
        <f t="shared" si="4"/>
        <v>1.3333333333333333</v>
      </c>
      <c r="K22" s="45">
        <f t="shared" si="5"/>
        <v>1.5</v>
      </c>
      <c r="L22" s="44">
        <f>(COUNTIFS($F$17:$F21,F22)+1)*(H22&gt;1)+0</f>
        <v>1</v>
      </c>
      <c r="M22" s="44"/>
      <c r="N22" s="44"/>
    </row>
    <row r="23" spans="3:14" s="39" customFormat="1" ht="21" outlineLevel="1" x14ac:dyDescent="0.35">
      <c r="C23" s="43" t="str">
        <f>Риск_калькулятор!D11</f>
        <v>R7</v>
      </c>
      <c r="D23" s="44">
        <f>IF(AND(Риск_калькулятор!F11&gt;$T$5,Риск_калькулятор!F11&lt;$U$5),2,IF(AND(Риск_калькулятор!F11&gt;$T$6,Риск_калькулятор!F11&lt;$U$6),3,IF(AND(Риск_калькулятор!F11&gt;$T$7,Риск_калькулятор!F11&lt;$U$7),4,IF(Риск_калькулятор!F11&gt;$T$8,5,1))))</f>
        <v>3</v>
      </c>
      <c r="E23" s="44">
        <f>IF(AND(Риск_калькулятор!M11&gt;$X$5,Риск_калькулятор!M11&lt;$Y$5),2,IF(AND(Риск_калькулятор!M11&gt;$X$6,Риск_калькулятор!M11&lt;$Y$6),3,IF(AND(Риск_калькулятор!M11&gt;$X$7,Риск_калькулятор!M11&lt;$Y$7),4,IF(Риск_калькулятор!M11&gt;$X$8,5,1))))</f>
        <v>2</v>
      </c>
      <c r="F23" s="44">
        <f t="shared" si="1"/>
        <v>66</v>
      </c>
      <c r="G23" s="44"/>
      <c r="H23" s="44">
        <f t="shared" si="2"/>
        <v>1</v>
      </c>
      <c r="I23" s="45">
        <f t="shared" si="3"/>
        <v>0.5</v>
      </c>
      <c r="J23" s="45">
        <f t="shared" si="4"/>
        <v>2.5</v>
      </c>
      <c r="K23" s="45">
        <f t="shared" si="5"/>
        <v>1.5</v>
      </c>
      <c r="L23" s="44">
        <f>(COUNTIFS($F$17:$F22,F23)+1)*(H23&gt;1)+0</f>
        <v>0</v>
      </c>
      <c r="M23" s="44"/>
      <c r="N23" s="44"/>
    </row>
    <row r="24" spans="3:14" s="39" customFormat="1" ht="21" outlineLevel="1" x14ac:dyDescent="0.35">
      <c r="C24" s="43" t="str">
        <f>Риск_калькулятор!D12</f>
        <v>R8</v>
      </c>
      <c r="D24" s="44">
        <f>IF(AND(Риск_калькулятор!F12&gt;$T$5,Риск_калькулятор!F12&lt;$U$5),2,IF(AND(Риск_калькулятор!F12&gt;$T$6,Риск_калькулятор!F12&lt;$U$6),3,IF(AND(Риск_калькулятор!F12&gt;$T$7,Риск_калькулятор!F12&lt;$U$7),4,IF(Риск_калькулятор!F12&gt;$T$8,5,1))))</f>
        <v>2</v>
      </c>
      <c r="E24" s="44">
        <f>IF(AND(Риск_калькулятор!M12&gt;$X$5,Риск_калькулятор!M12&lt;$Y$5),2,IF(AND(Риск_калькулятор!M12&gt;$X$6,Риск_калькулятор!M12&lt;$Y$6),3,IF(AND(Риск_калькулятор!M12&gt;$X$7,Риск_калькулятор!M12&lt;$Y$7),4,IF(Риск_калькулятор!M12&gt;$X$8,5,1))))</f>
        <v>2</v>
      </c>
      <c r="F24" s="44">
        <f t="shared" si="1"/>
        <v>44</v>
      </c>
      <c r="G24" s="44"/>
      <c r="H24" s="44">
        <f t="shared" si="2"/>
        <v>2</v>
      </c>
      <c r="I24" s="45">
        <f t="shared" si="3"/>
        <v>0.33333333333333331</v>
      </c>
      <c r="J24" s="45">
        <f t="shared" si="4"/>
        <v>1.6666666666666665</v>
      </c>
      <c r="K24" s="45">
        <f t="shared" si="5"/>
        <v>1.5</v>
      </c>
      <c r="L24" s="44">
        <f>(COUNTIFS($F$17:$F23,F24)+1)*(H24&gt;1)+0</f>
        <v>2</v>
      </c>
      <c r="M24" s="44"/>
      <c r="N24" s="44"/>
    </row>
    <row r="25" spans="3:14" s="39" customFormat="1" ht="21" outlineLevel="1" x14ac:dyDescent="0.35">
      <c r="C25" s="43" t="str">
        <f>Риск_калькулятор!D13</f>
        <v>R9</v>
      </c>
      <c r="D25" s="44">
        <f>IF(AND(Риск_калькулятор!F13&gt;$T$5,Риск_калькулятор!F13&lt;$U$5),2,IF(AND(Риск_калькулятор!F13&gt;$T$6,Риск_калькулятор!F13&lt;$U$6),3,IF(AND(Риск_калькулятор!F13&gt;$T$7,Риск_калькулятор!F13&lt;$U$7),4,IF(Риск_калькулятор!F13&gt;$T$8,5,1))))</f>
        <v>1</v>
      </c>
      <c r="E25" s="44">
        <f>IF(AND(Риск_калькулятор!M13&gt;$X$5,Риск_калькулятор!M13&lt;$Y$5),2,IF(AND(Риск_калькулятор!M13&gt;$X$6,Риск_калькулятор!M13&lt;$Y$6),3,IF(AND(Риск_калькулятор!M13&gt;$X$7,Риск_калькулятор!M13&lt;$Y$7),4,IF(Риск_калькулятор!M13&gt;$X$8,5,1))))</f>
        <v>2</v>
      </c>
      <c r="F25" s="44">
        <f t="shared" si="1"/>
        <v>22</v>
      </c>
      <c r="G25" s="44"/>
      <c r="H25" s="44">
        <f t="shared" si="2"/>
        <v>4</v>
      </c>
      <c r="I25" s="45">
        <f t="shared" si="3"/>
        <v>0.2</v>
      </c>
      <c r="J25" s="45">
        <f t="shared" si="4"/>
        <v>0.60000000000000009</v>
      </c>
      <c r="K25" s="45">
        <f t="shared" si="5"/>
        <v>1.5</v>
      </c>
      <c r="L25" s="44">
        <f>(COUNTIFS($F$17:$F24,F25)+1)*(H25&gt;1)+0</f>
        <v>3</v>
      </c>
      <c r="M25" s="44"/>
      <c r="N25" s="44"/>
    </row>
    <row r="26" spans="3:14" s="39" customFormat="1" ht="21" outlineLevel="1" x14ac:dyDescent="0.35">
      <c r="C26" s="43" t="str">
        <f>Риск_калькулятор!D14</f>
        <v>R10</v>
      </c>
      <c r="D26" s="44">
        <f>IF(AND(Риск_калькулятор!F14&gt;$T$5,Риск_калькулятор!F14&lt;$U$5),2,IF(AND(Риск_калькулятор!F14&gt;$T$6,Риск_калькулятор!F14&lt;$U$6),3,IF(AND(Риск_калькулятор!F14&gt;$T$7,Риск_калькулятор!F14&lt;$U$7),4,IF(Риск_калькулятор!F14&gt;$T$8,5,1))))</f>
        <v>1</v>
      </c>
      <c r="E26" s="44">
        <f>IF(AND(Риск_калькулятор!M14&gt;$X$5,Риск_калькулятор!M14&lt;$Y$5),2,IF(AND(Риск_калькулятор!M14&gt;$X$6,Риск_калькулятор!M14&lt;$Y$6),3,IF(AND(Риск_калькулятор!M14&gt;$X$7,Риск_калькулятор!M14&lt;$Y$7),4,IF(Риск_калькулятор!M14&gt;$X$8,5,1))))</f>
        <v>2</v>
      </c>
      <c r="F26" s="44">
        <f>D26*(E26*10+2)</f>
        <v>22</v>
      </c>
      <c r="G26" s="44"/>
      <c r="H26" s="44">
        <f t="shared" si="2"/>
        <v>4</v>
      </c>
      <c r="I26" s="45">
        <f t="shared" si="3"/>
        <v>0.2</v>
      </c>
      <c r="J26" s="45">
        <f t="shared" si="4"/>
        <v>0.8</v>
      </c>
      <c r="K26" s="45">
        <f t="shared" si="5"/>
        <v>1.5</v>
      </c>
      <c r="L26" s="44">
        <f>(COUNTIFS($F$17:$F25,F26)+1)*(H26&gt;1)+0</f>
        <v>4</v>
      </c>
      <c r="M26" s="44"/>
      <c r="N26" s="44"/>
    </row>
    <row r="27" spans="3:14" s="39" customFormat="1" ht="27" outlineLevel="1" x14ac:dyDescent="0.35">
      <c r="C27" s="41"/>
      <c r="D27" s="41"/>
      <c r="E27" s="44"/>
      <c r="F27" s="44"/>
      <c r="G27" s="44"/>
      <c r="H27" s="44"/>
      <c r="I27" s="44"/>
      <c r="J27" s="44"/>
      <c r="K27" s="44"/>
      <c r="L27" s="44"/>
      <c r="M27" s="44"/>
      <c r="N27" s="44"/>
    </row>
    <row r="28" spans="3:14" s="39" customFormat="1" ht="21" outlineLevel="1" x14ac:dyDescent="0.35"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</row>
    <row r="29" spans="3:14" s="39" customFormat="1" ht="21" outlineLevel="1" x14ac:dyDescent="0.35"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</row>
    <row r="30" spans="3:14" s="39" customFormat="1" ht="21" outlineLevel="1" x14ac:dyDescent="0.35"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</row>
    <row r="31" spans="3:14" s="39" customFormat="1" ht="21" outlineLevel="1" x14ac:dyDescent="0.35"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32" spans="3:14" s="39" customFormat="1" ht="27" outlineLevel="1" x14ac:dyDescent="0.35">
      <c r="C32" s="44"/>
      <c r="D32" s="44"/>
      <c r="E32" s="44"/>
      <c r="F32" s="44"/>
      <c r="G32" s="44"/>
      <c r="H32" s="44"/>
      <c r="I32" s="44"/>
      <c r="J32" s="44"/>
      <c r="K32" s="46"/>
      <c r="L32" s="46"/>
      <c r="M32" s="46"/>
      <c r="N32" s="46"/>
    </row>
    <row r="33" spans="3:14" s="39" customFormat="1" ht="27" outlineLevel="1" x14ac:dyDescent="0.35">
      <c r="C33" s="44"/>
      <c r="D33" s="44"/>
      <c r="E33" s="44"/>
      <c r="F33" s="44"/>
      <c r="G33" s="44"/>
      <c r="H33" s="44"/>
      <c r="I33" s="44"/>
      <c r="J33" s="44"/>
      <c r="K33" s="46"/>
      <c r="L33" s="46"/>
      <c r="M33" s="46"/>
      <c r="N33" s="46"/>
    </row>
    <row r="34" spans="3:14" s="39" customFormat="1" ht="27" outlineLevel="1" x14ac:dyDescent="0.35">
      <c r="C34" s="44">
        <v>52</v>
      </c>
      <c r="D34" s="44">
        <f>$C34*$D$39</f>
        <v>52</v>
      </c>
      <c r="E34" s="44">
        <f>$C34*$E$39</f>
        <v>104</v>
      </c>
      <c r="F34" s="44">
        <f>$C34*$F$39</f>
        <v>156</v>
      </c>
      <c r="G34" s="44">
        <f>$C34*$G$39</f>
        <v>208</v>
      </c>
      <c r="H34" s="44">
        <f>$C34*$H$39</f>
        <v>260</v>
      </c>
      <c r="I34" s="44"/>
      <c r="J34" s="44"/>
      <c r="K34" s="46"/>
      <c r="L34" s="46"/>
      <c r="M34" s="46"/>
      <c r="N34" s="46"/>
    </row>
    <row r="35" spans="3:14" s="39" customFormat="1" ht="27" outlineLevel="1" x14ac:dyDescent="0.35">
      <c r="C35" s="44">
        <v>42</v>
      </c>
      <c r="D35" s="44">
        <f t="shared" ref="D35:D38" si="6">$C35*$D$39</f>
        <v>42</v>
      </c>
      <c r="E35" s="44">
        <f t="shared" ref="E35:E38" si="7">$C35*$E$39</f>
        <v>84</v>
      </c>
      <c r="F35" s="44">
        <f t="shared" ref="F35:F38" si="8">$C35*$F$39</f>
        <v>126</v>
      </c>
      <c r="G35" s="44">
        <f t="shared" ref="G35:G38" si="9">$C35*$G$39</f>
        <v>168</v>
      </c>
      <c r="H35" s="44">
        <f t="shared" ref="H35:H38" si="10">$C35*$H$39</f>
        <v>210</v>
      </c>
      <c r="I35" s="44"/>
      <c r="J35" s="44"/>
      <c r="K35" s="46"/>
      <c r="L35" s="46"/>
      <c r="M35" s="46"/>
      <c r="N35" s="46"/>
    </row>
    <row r="36" spans="3:14" s="39" customFormat="1" ht="27" outlineLevel="1" x14ac:dyDescent="0.35">
      <c r="C36" s="44">
        <v>36</v>
      </c>
      <c r="D36" s="44">
        <f t="shared" si="6"/>
        <v>36</v>
      </c>
      <c r="E36" s="44">
        <f t="shared" si="7"/>
        <v>72</v>
      </c>
      <c r="F36" s="44">
        <f t="shared" si="8"/>
        <v>108</v>
      </c>
      <c r="G36" s="44">
        <f t="shared" si="9"/>
        <v>144</v>
      </c>
      <c r="H36" s="44">
        <f t="shared" si="10"/>
        <v>180</v>
      </c>
      <c r="I36" s="44"/>
      <c r="J36" s="44"/>
      <c r="K36" s="46"/>
      <c r="L36" s="46"/>
      <c r="M36" s="46"/>
      <c r="N36" s="46"/>
    </row>
    <row r="37" spans="3:14" s="39" customFormat="1" ht="27" outlineLevel="1" x14ac:dyDescent="0.35">
      <c r="C37" s="44">
        <v>22</v>
      </c>
      <c r="D37" s="44">
        <f t="shared" si="6"/>
        <v>22</v>
      </c>
      <c r="E37" s="44">
        <f t="shared" si="7"/>
        <v>44</v>
      </c>
      <c r="F37" s="44">
        <f t="shared" si="8"/>
        <v>66</v>
      </c>
      <c r="G37" s="44">
        <f t="shared" si="9"/>
        <v>88</v>
      </c>
      <c r="H37" s="44">
        <f t="shared" si="10"/>
        <v>110</v>
      </c>
      <c r="I37" s="44"/>
      <c r="J37" s="44"/>
      <c r="K37" s="46"/>
      <c r="L37" s="46"/>
      <c r="M37" s="46"/>
      <c r="N37" s="46"/>
    </row>
    <row r="38" spans="3:14" s="39" customFormat="1" ht="27" outlineLevel="1" x14ac:dyDescent="0.35">
      <c r="C38" s="44">
        <v>12</v>
      </c>
      <c r="D38" s="44">
        <f t="shared" si="6"/>
        <v>12</v>
      </c>
      <c r="E38" s="44">
        <f t="shared" si="7"/>
        <v>24</v>
      </c>
      <c r="F38" s="44">
        <f t="shared" si="8"/>
        <v>36</v>
      </c>
      <c r="G38" s="44">
        <f t="shared" si="9"/>
        <v>48</v>
      </c>
      <c r="H38" s="44">
        <f t="shared" si="10"/>
        <v>60</v>
      </c>
      <c r="I38" s="44"/>
      <c r="J38" s="44"/>
      <c r="K38" s="46"/>
      <c r="L38" s="46"/>
      <c r="M38" s="46"/>
      <c r="N38" s="46"/>
    </row>
    <row r="39" spans="3:14" s="39" customFormat="1" ht="27" outlineLevel="1" x14ac:dyDescent="0.35">
      <c r="C39" s="44"/>
      <c r="D39" s="44">
        <v>1</v>
      </c>
      <c r="E39" s="44">
        <v>2</v>
      </c>
      <c r="F39" s="44">
        <v>3</v>
      </c>
      <c r="G39" s="44">
        <v>4</v>
      </c>
      <c r="H39" s="44">
        <v>5</v>
      </c>
      <c r="I39" s="44"/>
      <c r="J39" s="44"/>
      <c r="K39" s="46"/>
      <c r="L39" s="46"/>
      <c r="M39" s="46"/>
      <c r="N39" s="46"/>
    </row>
    <row r="40" spans="3:14" s="39" customFormat="1" ht="21" outlineLevel="1" x14ac:dyDescent="0.35"/>
    <row r="41" spans="3:14" s="39" customFormat="1" ht="21" outlineLevel="1" x14ac:dyDescent="0.35"/>
    <row r="42" spans="3:14" s="39" customFormat="1" ht="21" outlineLevel="1" x14ac:dyDescent="0.35">
      <c r="C42" s="40">
        <f>D38</f>
        <v>12</v>
      </c>
      <c r="D42" s="39">
        <f>COUNTIFS($F$17:$F$26,C42)</f>
        <v>0</v>
      </c>
    </row>
    <row r="43" spans="3:14" s="39" customFormat="1" ht="21" outlineLevel="1" x14ac:dyDescent="0.35">
      <c r="C43" s="40">
        <f>E38</f>
        <v>24</v>
      </c>
      <c r="D43" s="39">
        <f t="shared" ref="D43:D66" si="11">COUNTIFS($F$17:$F$26,C43)</f>
        <v>0</v>
      </c>
    </row>
    <row r="44" spans="3:14" s="39" customFormat="1" ht="21" outlineLevel="1" x14ac:dyDescent="0.35">
      <c r="C44" s="40">
        <f>F38</f>
        <v>36</v>
      </c>
      <c r="D44" s="39">
        <f t="shared" si="11"/>
        <v>0</v>
      </c>
    </row>
    <row r="45" spans="3:14" s="39" customFormat="1" ht="21" outlineLevel="1" x14ac:dyDescent="0.35">
      <c r="C45" s="40">
        <f>G38</f>
        <v>48</v>
      </c>
      <c r="D45" s="39">
        <f t="shared" si="11"/>
        <v>0</v>
      </c>
    </row>
    <row r="46" spans="3:14" s="39" customFormat="1" ht="21" outlineLevel="1" x14ac:dyDescent="0.35">
      <c r="C46" s="40">
        <f>H38</f>
        <v>60</v>
      </c>
      <c r="D46" s="39">
        <f t="shared" si="11"/>
        <v>0</v>
      </c>
    </row>
    <row r="47" spans="3:14" s="39" customFormat="1" ht="21" outlineLevel="1" x14ac:dyDescent="0.35">
      <c r="C47" s="40">
        <f>D37</f>
        <v>22</v>
      </c>
      <c r="D47" s="39">
        <f t="shared" si="11"/>
        <v>4</v>
      </c>
    </row>
    <row r="48" spans="3:14" s="39" customFormat="1" ht="21" outlineLevel="1" x14ac:dyDescent="0.35">
      <c r="C48" s="40">
        <f>E37</f>
        <v>44</v>
      </c>
      <c r="D48" s="39">
        <f t="shared" si="11"/>
        <v>2</v>
      </c>
    </row>
    <row r="49" spans="3:4" s="39" customFormat="1" ht="21" outlineLevel="1" x14ac:dyDescent="0.35">
      <c r="C49" s="40">
        <f>F37</f>
        <v>66</v>
      </c>
      <c r="D49" s="39">
        <f t="shared" si="11"/>
        <v>1</v>
      </c>
    </row>
    <row r="50" spans="3:4" s="39" customFormat="1" ht="21" outlineLevel="1" x14ac:dyDescent="0.35">
      <c r="C50" s="40">
        <f>G37</f>
        <v>88</v>
      </c>
      <c r="D50" s="39">
        <f t="shared" si="11"/>
        <v>0</v>
      </c>
    </row>
    <row r="51" spans="3:4" s="39" customFormat="1" ht="21" outlineLevel="1" x14ac:dyDescent="0.35">
      <c r="C51" s="40">
        <f>H37</f>
        <v>110</v>
      </c>
      <c r="D51" s="39">
        <f t="shared" si="11"/>
        <v>1</v>
      </c>
    </row>
    <row r="52" spans="3:4" s="39" customFormat="1" ht="21" outlineLevel="1" x14ac:dyDescent="0.35">
      <c r="C52" s="40">
        <f>D36</f>
        <v>36</v>
      </c>
      <c r="D52" s="39">
        <f t="shared" si="11"/>
        <v>0</v>
      </c>
    </row>
    <row r="53" spans="3:4" s="39" customFormat="1" ht="21" outlineLevel="1" x14ac:dyDescent="0.35">
      <c r="C53" s="40">
        <f>E36</f>
        <v>72</v>
      </c>
      <c r="D53" s="39">
        <f t="shared" si="11"/>
        <v>0</v>
      </c>
    </row>
    <row r="54" spans="3:4" s="39" customFormat="1" ht="21" outlineLevel="1" x14ac:dyDescent="0.35">
      <c r="C54" s="40">
        <f>F36</f>
        <v>108</v>
      </c>
      <c r="D54" s="39">
        <f t="shared" si="11"/>
        <v>0</v>
      </c>
    </row>
    <row r="55" spans="3:4" s="39" customFormat="1" ht="21" outlineLevel="1" x14ac:dyDescent="0.35">
      <c r="C55" s="40">
        <f>G36</f>
        <v>144</v>
      </c>
      <c r="D55" s="39">
        <f t="shared" si="11"/>
        <v>0</v>
      </c>
    </row>
    <row r="56" spans="3:4" s="39" customFormat="1" ht="21" outlineLevel="1" x14ac:dyDescent="0.35">
      <c r="C56" s="40">
        <f>H36</f>
        <v>180</v>
      </c>
      <c r="D56" s="39">
        <f t="shared" si="11"/>
        <v>0</v>
      </c>
    </row>
    <row r="57" spans="3:4" s="39" customFormat="1" ht="21" outlineLevel="1" x14ac:dyDescent="0.35">
      <c r="C57" s="40">
        <f>D35</f>
        <v>42</v>
      </c>
      <c r="D57" s="39">
        <f t="shared" si="11"/>
        <v>0</v>
      </c>
    </row>
    <row r="58" spans="3:4" s="39" customFormat="1" ht="21" outlineLevel="1" x14ac:dyDescent="0.35">
      <c r="C58" s="40">
        <f>E35</f>
        <v>84</v>
      </c>
      <c r="D58" s="39">
        <f t="shared" si="11"/>
        <v>0</v>
      </c>
    </row>
    <row r="59" spans="3:4" s="39" customFormat="1" ht="21" outlineLevel="1" x14ac:dyDescent="0.35">
      <c r="C59" s="40">
        <f>F35</f>
        <v>126</v>
      </c>
      <c r="D59" s="39">
        <f t="shared" si="11"/>
        <v>0</v>
      </c>
    </row>
    <row r="60" spans="3:4" s="39" customFormat="1" ht="21" outlineLevel="1" x14ac:dyDescent="0.35">
      <c r="C60" s="40">
        <f>G35</f>
        <v>168</v>
      </c>
      <c r="D60" s="39">
        <f t="shared" si="11"/>
        <v>1</v>
      </c>
    </row>
    <row r="61" spans="3:4" s="39" customFormat="1" ht="21" outlineLevel="1" x14ac:dyDescent="0.35">
      <c r="C61" s="40">
        <f>H35</f>
        <v>210</v>
      </c>
      <c r="D61" s="39">
        <f t="shared" si="11"/>
        <v>0</v>
      </c>
    </row>
    <row r="62" spans="3:4" s="39" customFormat="1" ht="21" outlineLevel="1" x14ac:dyDescent="0.35">
      <c r="C62" s="40">
        <f>D34</f>
        <v>52</v>
      </c>
      <c r="D62" s="39">
        <f t="shared" si="11"/>
        <v>0</v>
      </c>
    </row>
    <row r="63" spans="3:4" s="39" customFormat="1" ht="21" outlineLevel="1" x14ac:dyDescent="0.35">
      <c r="C63" s="40">
        <f>E34</f>
        <v>104</v>
      </c>
      <c r="D63" s="39">
        <f t="shared" si="11"/>
        <v>0</v>
      </c>
    </row>
    <row r="64" spans="3:4" s="39" customFormat="1" ht="21" outlineLevel="1" x14ac:dyDescent="0.35">
      <c r="C64" s="40">
        <f>F34</f>
        <v>156</v>
      </c>
      <c r="D64" s="39">
        <f t="shared" si="11"/>
        <v>0</v>
      </c>
    </row>
    <row r="65" spans="3:4" s="39" customFormat="1" ht="21" outlineLevel="1" x14ac:dyDescent="0.35">
      <c r="C65" s="40">
        <f>G34</f>
        <v>208</v>
      </c>
      <c r="D65" s="39">
        <f t="shared" si="11"/>
        <v>0</v>
      </c>
    </row>
    <row r="66" spans="3:4" s="39" customFormat="1" ht="21" outlineLevel="1" x14ac:dyDescent="0.35">
      <c r="C66" s="40">
        <f>H34</f>
        <v>260</v>
      </c>
      <c r="D66" s="39">
        <f t="shared" si="11"/>
        <v>0</v>
      </c>
    </row>
    <row r="67" spans="3:4" s="39" customFormat="1" ht="21" outlineLevel="1" x14ac:dyDescent="0.35"/>
    <row r="68" spans="3:4" s="39" customFormat="1" ht="21" outlineLevel="1" x14ac:dyDescent="0.35"/>
    <row r="69" spans="3:4" s="39" customFormat="1" ht="21" outlineLevel="1" x14ac:dyDescent="0.35"/>
    <row r="70" spans="3:4" s="39" customFormat="1" ht="21" outlineLevel="1" x14ac:dyDescent="0.35"/>
    <row r="71" spans="3:4" s="39" customFormat="1" ht="21" outlineLevel="1" x14ac:dyDescent="0.35"/>
    <row r="72" spans="3:4" s="39" customFormat="1" ht="21" outlineLevel="1" x14ac:dyDescent="0.35"/>
    <row r="73" spans="3:4" s="39" customFormat="1" ht="21" outlineLevel="1" x14ac:dyDescent="0.35"/>
    <row r="74" spans="3:4" s="39" customFormat="1" ht="21" outlineLevel="1" x14ac:dyDescent="0.35"/>
    <row r="75" spans="3:4" s="39" customFormat="1" ht="21" outlineLevel="1" x14ac:dyDescent="0.35"/>
    <row r="76" spans="3:4" s="39" customFormat="1" ht="21" outlineLevel="1" x14ac:dyDescent="0.35"/>
    <row r="77" spans="3:4" s="39" customFormat="1" ht="21" outlineLevel="1" x14ac:dyDescent="0.35"/>
    <row r="78" spans="3:4" s="39" customFormat="1" ht="21" outlineLevel="1" x14ac:dyDescent="0.35"/>
    <row r="79" spans="3:4" s="39" customFormat="1" ht="21" outlineLevel="1" x14ac:dyDescent="0.35"/>
    <row r="80" spans="3:4" s="13" customFormat="1" x14ac:dyDescent="0.25"/>
    <row r="81" s="13" customFormat="1" x14ac:dyDescent="0.25"/>
    <row r="82" s="13" customFormat="1" x14ac:dyDescent="0.25"/>
    <row r="83" s="13" customFormat="1" x14ac:dyDescent="0.25"/>
    <row r="84" s="13" customFormat="1" x14ac:dyDescent="0.25"/>
    <row r="85" s="13" customFormat="1" x14ac:dyDescent="0.25"/>
    <row r="86" s="13" customFormat="1" x14ac:dyDescent="0.25"/>
    <row r="87" s="13" customFormat="1" x14ac:dyDescent="0.25"/>
    <row r="88" s="13" customFormat="1" x14ac:dyDescent="0.25"/>
    <row r="89" s="13" customFormat="1" x14ac:dyDescent="0.25"/>
    <row r="90" s="13" customFormat="1" x14ac:dyDescent="0.25"/>
    <row r="91" s="13" customFormat="1" x14ac:dyDescent="0.25"/>
    <row r="92" s="13" customFormat="1" x14ac:dyDescent="0.25"/>
    <row r="93" s="13" customFormat="1" x14ac:dyDescent="0.25"/>
    <row r="94" s="13" customFormat="1" x14ac:dyDescent="0.25"/>
    <row r="95" s="13" customFormat="1" x14ac:dyDescent="0.25"/>
    <row r="96" s="13" customFormat="1" x14ac:dyDescent="0.25"/>
    <row r="97" s="13" customFormat="1" x14ac:dyDescent="0.25"/>
    <row r="98" s="13" customFormat="1" x14ac:dyDescent="0.25"/>
    <row r="99" s="13" customFormat="1" x14ac:dyDescent="0.25"/>
    <row r="100" s="13" customFormat="1" x14ac:dyDescent="0.25"/>
    <row r="101" s="13" customFormat="1" x14ac:dyDescent="0.25"/>
    <row r="102" s="13" customFormat="1" x14ac:dyDescent="0.25"/>
    <row r="103" s="13" customFormat="1" x14ac:dyDescent="0.25"/>
    <row r="104" s="13" customFormat="1" x14ac:dyDescent="0.25"/>
    <row r="105" s="13" customFormat="1" x14ac:dyDescent="0.25"/>
    <row r="106" s="13" customFormat="1" x14ac:dyDescent="0.25"/>
    <row r="107" s="13" customFormat="1" x14ac:dyDescent="0.25"/>
    <row r="108" s="13" customFormat="1" x14ac:dyDescent="0.25"/>
    <row r="109" s="13" customFormat="1" x14ac:dyDescent="0.25"/>
    <row r="110" s="13" customFormat="1" x14ac:dyDescent="0.25"/>
    <row r="111" s="13" customFormat="1" x14ac:dyDescent="0.25"/>
    <row r="112" s="13" customFormat="1" x14ac:dyDescent="0.25"/>
    <row r="113" s="13" customFormat="1" x14ac:dyDescent="0.25"/>
    <row r="114" s="13" customFormat="1" x14ac:dyDescent="0.25"/>
    <row r="115" s="13" customFormat="1" x14ac:dyDescent="0.25"/>
    <row r="116" s="13" customFormat="1" x14ac:dyDescent="0.25"/>
    <row r="117" s="13" customFormat="1" x14ac:dyDescent="0.25"/>
    <row r="118" s="13" customFormat="1" x14ac:dyDescent="0.25"/>
    <row r="119" s="13" customFormat="1" x14ac:dyDescent="0.25"/>
    <row r="120" s="13" customFormat="1" x14ac:dyDescent="0.25"/>
    <row r="121" s="13" customFormat="1" x14ac:dyDescent="0.25"/>
    <row r="122" s="13" customFormat="1" x14ac:dyDescent="0.25"/>
    <row r="123" s="13" customFormat="1" x14ac:dyDescent="0.25"/>
    <row r="124" s="13" customFormat="1" x14ac:dyDescent="0.25"/>
    <row r="125" s="13" customFormat="1" x14ac:dyDescent="0.25"/>
    <row r="126" s="13" customFormat="1" x14ac:dyDescent="0.25"/>
    <row r="127" s="13" customFormat="1" x14ac:dyDescent="0.25"/>
    <row r="128" s="13" customFormat="1" x14ac:dyDescent="0.25"/>
    <row r="129" s="13" customFormat="1" x14ac:dyDescent="0.25"/>
    <row r="130" s="13" customFormat="1" x14ac:dyDescent="0.25"/>
    <row r="131" s="13" customFormat="1" x14ac:dyDescent="0.25"/>
    <row r="132" s="13" customFormat="1" x14ac:dyDescent="0.25"/>
    <row r="133" s="13" customFormat="1" x14ac:dyDescent="0.25"/>
    <row r="134" s="13" customFormat="1" x14ac:dyDescent="0.25"/>
    <row r="135" s="13" customFormat="1" x14ac:dyDescent="0.25"/>
    <row r="136" s="13" customFormat="1" x14ac:dyDescent="0.25"/>
    <row r="137" s="13" customFormat="1" x14ac:dyDescent="0.25"/>
    <row r="138" s="13" customFormat="1" x14ac:dyDescent="0.25"/>
    <row r="139" s="13" customFormat="1" x14ac:dyDescent="0.25"/>
    <row r="140" s="13" customFormat="1" x14ac:dyDescent="0.25"/>
    <row r="141" s="13" customFormat="1" x14ac:dyDescent="0.25"/>
    <row r="142" s="13" customFormat="1" x14ac:dyDescent="0.25"/>
    <row r="143" s="13" customFormat="1" x14ac:dyDescent="0.25"/>
    <row r="144" s="13" customFormat="1" x14ac:dyDescent="0.25"/>
    <row r="145" s="13" customFormat="1" x14ac:dyDescent="0.25"/>
    <row r="146" s="13" customFormat="1" x14ac:dyDescent="0.25"/>
    <row r="147" s="13" customFormat="1" x14ac:dyDescent="0.25"/>
    <row r="148" s="13" customFormat="1" x14ac:dyDescent="0.25"/>
    <row r="149" s="13" customFormat="1" x14ac:dyDescent="0.25"/>
    <row r="150" s="13" customFormat="1" x14ac:dyDescent="0.25"/>
    <row r="151" s="13" customFormat="1" x14ac:dyDescent="0.25"/>
    <row r="152" s="13" customFormat="1" x14ac:dyDescent="0.25"/>
    <row r="153" s="13" customFormat="1" x14ac:dyDescent="0.25"/>
    <row r="154" s="13" customFormat="1" x14ac:dyDescent="0.25"/>
    <row r="155" s="13" customFormat="1" x14ac:dyDescent="0.25"/>
    <row r="156" s="13" customFormat="1" x14ac:dyDescent="0.25"/>
    <row r="157" s="13" customFormat="1" x14ac:dyDescent="0.25"/>
    <row r="158" s="13" customFormat="1" x14ac:dyDescent="0.25"/>
    <row r="159" s="13" customFormat="1" x14ac:dyDescent="0.25"/>
    <row r="160" s="13" customFormat="1" x14ac:dyDescent="0.25"/>
    <row r="161" s="13" customFormat="1" x14ac:dyDescent="0.25"/>
    <row r="162" s="13" customFormat="1" x14ac:dyDescent="0.25"/>
    <row r="163" s="13" customFormat="1" x14ac:dyDescent="0.25"/>
    <row r="164" s="13" customFormat="1" x14ac:dyDescent="0.25"/>
    <row r="165" s="13" customFormat="1" x14ac:dyDescent="0.25"/>
    <row r="166" s="13" customFormat="1" x14ac:dyDescent="0.25"/>
    <row r="167" s="13" customFormat="1" x14ac:dyDescent="0.25"/>
    <row r="168" s="13" customFormat="1" x14ac:dyDescent="0.25"/>
    <row r="169" s="13" customFormat="1" x14ac:dyDescent="0.25"/>
    <row r="170" s="13" customFormat="1" x14ac:dyDescent="0.25"/>
    <row r="171" s="13" customFormat="1" x14ac:dyDescent="0.25"/>
    <row r="172" s="13" customFormat="1" x14ac:dyDescent="0.25"/>
    <row r="173" s="13" customFormat="1" x14ac:dyDescent="0.25"/>
    <row r="174" s="13" customFormat="1" x14ac:dyDescent="0.25"/>
    <row r="175" s="13" customFormat="1" x14ac:dyDescent="0.25"/>
    <row r="176" s="13" customFormat="1" x14ac:dyDescent="0.25"/>
    <row r="177" s="13" customFormat="1" x14ac:dyDescent="0.25"/>
    <row r="178" s="13" customFormat="1" x14ac:dyDescent="0.25"/>
    <row r="179" s="13" customFormat="1" x14ac:dyDescent="0.25"/>
    <row r="180" s="13" customFormat="1" x14ac:dyDescent="0.25"/>
    <row r="181" s="13" customFormat="1" x14ac:dyDescent="0.25"/>
    <row r="182" s="13" customFormat="1" x14ac:dyDescent="0.25"/>
    <row r="183" s="13" customFormat="1" x14ac:dyDescent="0.25"/>
    <row r="184" s="13" customFormat="1" x14ac:dyDescent="0.25"/>
    <row r="185" s="13" customFormat="1" x14ac:dyDescent="0.25"/>
    <row r="186" s="13" customFormat="1" x14ac:dyDescent="0.25"/>
    <row r="187" s="13" customFormat="1" x14ac:dyDescent="0.25"/>
    <row r="188" s="13" customFormat="1" x14ac:dyDescent="0.25"/>
    <row r="189" s="13" customFormat="1" x14ac:dyDescent="0.25"/>
    <row r="190" s="13" customFormat="1" x14ac:dyDescent="0.25"/>
    <row r="191" s="13" customFormat="1" x14ac:dyDescent="0.25"/>
    <row r="192" s="13" customFormat="1" x14ac:dyDescent="0.25"/>
    <row r="193" s="13" customFormat="1" x14ac:dyDescent="0.25"/>
    <row r="194" s="13" customFormat="1" x14ac:dyDescent="0.25"/>
    <row r="195" s="13" customFormat="1" x14ac:dyDescent="0.25"/>
    <row r="196" s="13" customFormat="1" x14ac:dyDescent="0.25"/>
    <row r="197" s="13" customFormat="1" x14ac:dyDescent="0.25"/>
    <row r="198" s="13" customFormat="1" x14ac:dyDescent="0.25"/>
    <row r="199" s="13" customFormat="1" x14ac:dyDescent="0.25"/>
    <row r="200" s="13" customFormat="1" x14ac:dyDescent="0.25"/>
    <row r="201" s="13" customFormat="1" x14ac:dyDescent="0.25"/>
    <row r="202" s="13" customFormat="1" x14ac:dyDescent="0.25"/>
    <row r="203" s="13" customFormat="1" x14ac:dyDescent="0.25"/>
    <row r="204" s="13" customFormat="1" x14ac:dyDescent="0.25"/>
    <row r="205" s="13" customFormat="1" x14ac:dyDescent="0.25"/>
    <row r="206" s="13" customFormat="1" x14ac:dyDescent="0.25"/>
    <row r="207" s="13" customFormat="1" x14ac:dyDescent="0.25"/>
    <row r="208" s="13" customFormat="1" x14ac:dyDescent="0.25"/>
    <row r="209" s="13" customFormat="1" x14ac:dyDescent="0.25"/>
    <row r="210" s="13" customFormat="1" x14ac:dyDescent="0.25"/>
    <row r="211" s="13" customFormat="1" x14ac:dyDescent="0.25"/>
    <row r="212" s="13" customFormat="1" x14ac:dyDescent="0.25"/>
    <row r="213" s="13" customFormat="1" x14ac:dyDescent="0.25"/>
    <row r="214" s="13" customFormat="1" x14ac:dyDescent="0.25"/>
    <row r="215" s="13" customFormat="1" x14ac:dyDescent="0.25"/>
    <row r="216" s="52" customFormat="1" x14ac:dyDescent="0.25"/>
    <row r="217" s="52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</sheetData>
  <mergeCells count="5">
    <mergeCell ref="B2:D2"/>
    <mergeCell ref="J2:J3"/>
    <mergeCell ref="E2:G2"/>
    <mergeCell ref="H2:H3"/>
    <mergeCell ref="I2:I3"/>
  </mergeCells>
  <pageMargins left="0.70866141732283472" right="0.70866141732283472" top="0.74803149606299213" bottom="0.74803149606299213" header="0.31496062992125984" footer="0.31496062992125984"/>
  <pageSetup paperSize="9" scale="32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shapeId="3114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428625</xdr:colOff>
                <xdr:row>2</xdr:row>
                <xdr:rowOff>133350</xdr:rowOff>
              </to>
            </anchor>
          </objectPr>
        </oleObject>
      </mc:Choice>
      <mc:Fallback>
        <oleObject progId="Объект упаковщика для оболочки" shapeId="3114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M1003"/>
  <sheetViews>
    <sheetView workbookViewId="0">
      <selection activeCell="E4" sqref="E4"/>
    </sheetView>
  </sheetViews>
  <sheetFormatPr defaultRowHeight="15" x14ac:dyDescent="0.25"/>
  <sheetData>
    <row r="1" spans="1:13" ht="69.95" customHeight="1" x14ac:dyDescent="0.25">
      <c r="A1" s="18">
        <v>1</v>
      </c>
      <c r="B1" t="s">
        <v>29</v>
      </c>
    </row>
    <row r="2" spans="1:13" x14ac:dyDescent="0.25">
      <c r="B2" t="s">
        <v>30</v>
      </c>
      <c r="C2" t="s">
        <v>62</v>
      </c>
      <c r="D2" t="s">
        <v>61</v>
      </c>
      <c r="E2" t="s">
        <v>60</v>
      </c>
      <c r="F2" t="s">
        <v>59</v>
      </c>
      <c r="G2" t="s">
        <v>58</v>
      </c>
      <c r="H2" t="s">
        <v>57</v>
      </c>
      <c r="I2" t="s">
        <v>56</v>
      </c>
      <c r="J2" t="s">
        <v>55</v>
      </c>
      <c r="K2" t="s">
        <v>54</v>
      </c>
      <c r="L2" t="s">
        <v>53</v>
      </c>
      <c r="M2" t="s">
        <v>63</v>
      </c>
    </row>
    <row r="3" spans="1:13" x14ac:dyDescent="0.25">
      <c r="B3" s="24" t="s">
        <v>31</v>
      </c>
      <c r="C3" s="25">
        <f>Риск_калькулятор!$J$5</f>
        <v>61.316918591478768</v>
      </c>
      <c r="D3" s="25">
        <f>Риск_калькулятор!$J$6</f>
        <v>0</v>
      </c>
      <c r="E3" s="25">
        <f>Риск_калькулятор!$J$7</f>
        <v>90.701989862526432</v>
      </c>
      <c r="F3" s="25">
        <f>Риск_калькулятор!$J$8</f>
        <v>0</v>
      </c>
      <c r="G3" s="25">
        <f>Риск_калькулятор!$J$9</f>
        <v>0</v>
      </c>
      <c r="H3" s="25">
        <f>Риск_калькулятор!$J$10</f>
        <v>0</v>
      </c>
      <c r="I3" s="25">
        <f>Риск_калькулятор!$J$11</f>
        <v>0</v>
      </c>
      <c r="J3" s="25">
        <f>Риск_калькулятор!$J$12</f>
        <v>0</v>
      </c>
      <c r="K3" s="25">
        <f>Риск_калькулятор!$J$13</f>
        <v>0</v>
      </c>
      <c r="L3" s="26">
        <f>Риск_калькулятор!$J$14</f>
        <v>0</v>
      </c>
      <c r="M3" s="26">
        <f>Риск_калькулятор!$J$15</f>
        <v>0</v>
      </c>
    </row>
    <row r="4" spans="1:13" x14ac:dyDescent="0.25">
      <c r="B4" s="27">
        <v>1</v>
      </c>
      <c r="C4" s="29">
        <f t="dataTable" ref="C4:M1003" dt2D="0" dtr="0" r1="A1"/>
        <v>61.316918591478768</v>
      </c>
      <c r="D4" s="29">
        <v>0</v>
      </c>
      <c r="E4" s="29">
        <v>90.701989862526432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30">
        <v>0</v>
      </c>
      <c r="M4" s="30">
        <v>0</v>
      </c>
    </row>
    <row r="5" spans="1:13" x14ac:dyDescent="0.25">
      <c r="B5" s="27">
        <v>2</v>
      </c>
      <c r="C5" s="29">
        <v>44.823027187720228</v>
      </c>
      <c r="D5" s="29">
        <v>60.138768285733008</v>
      </c>
      <c r="E5" s="29">
        <v>83.911277112643731</v>
      </c>
      <c r="F5" s="29">
        <v>59.459752507003387</v>
      </c>
      <c r="G5" s="29">
        <v>0</v>
      </c>
      <c r="H5" s="29">
        <v>0</v>
      </c>
      <c r="I5" s="29">
        <v>0</v>
      </c>
      <c r="J5" s="29">
        <v>0</v>
      </c>
      <c r="K5" s="29">
        <v>48.409918625515424</v>
      </c>
      <c r="L5" s="30">
        <v>0</v>
      </c>
      <c r="M5" s="30">
        <v>0</v>
      </c>
    </row>
    <row r="6" spans="1:13" x14ac:dyDescent="0.25">
      <c r="B6" s="27">
        <v>3</v>
      </c>
      <c r="C6" s="29">
        <v>55.125800381852237</v>
      </c>
      <c r="D6" s="29">
        <v>0</v>
      </c>
      <c r="E6" s="29">
        <v>85.361253850655928</v>
      </c>
      <c r="F6" s="29">
        <v>38.730017722249116</v>
      </c>
      <c r="G6" s="29">
        <v>0</v>
      </c>
      <c r="H6" s="29">
        <v>60.027103938452228</v>
      </c>
      <c r="I6" s="29">
        <v>48.521745373229486</v>
      </c>
      <c r="J6" s="29">
        <v>0</v>
      </c>
      <c r="K6" s="29">
        <v>0</v>
      </c>
      <c r="L6" s="30">
        <v>0</v>
      </c>
      <c r="M6" s="30">
        <v>0</v>
      </c>
    </row>
    <row r="7" spans="1:13" x14ac:dyDescent="0.25">
      <c r="B7" s="27">
        <v>4</v>
      </c>
      <c r="C7" s="29">
        <v>11.475472040371839</v>
      </c>
      <c r="D7" s="29">
        <v>0</v>
      </c>
      <c r="E7" s="29">
        <v>93.942021431686896</v>
      </c>
      <c r="F7" s="29">
        <v>27.418056985709416</v>
      </c>
      <c r="G7" s="29">
        <v>0</v>
      </c>
      <c r="H7" s="29">
        <v>52.518028972413994</v>
      </c>
      <c r="I7" s="29">
        <v>0</v>
      </c>
      <c r="J7" s="29">
        <v>0</v>
      </c>
      <c r="K7" s="29">
        <v>63.093575374902997</v>
      </c>
      <c r="L7" s="30">
        <v>0</v>
      </c>
      <c r="M7" s="30">
        <v>0</v>
      </c>
    </row>
    <row r="8" spans="1:13" x14ac:dyDescent="0.25">
      <c r="B8" s="27">
        <v>5</v>
      </c>
      <c r="C8" s="29">
        <v>31.563268256333121</v>
      </c>
      <c r="D8" s="29">
        <v>66.622363407582341</v>
      </c>
      <c r="E8" s="29">
        <v>117.73055033102359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47.233539481043941</v>
      </c>
      <c r="L8" s="30">
        <v>0</v>
      </c>
      <c r="M8" s="30">
        <v>0</v>
      </c>
    </row>
    <row r="9" spans="1:13" x14ac:dyDescent="0.25">
      <c r="B9" s="27">
        <v>6</v>
      </c>
      <c r="C9" s="29">
        <v>45.556410228903331</v>
      </c>
      <c r="D9" s="29">
        <v>85.611420138796987</v>
      </c>
      <c r="E9" s="29">
        <v>71.558357823295168</v>
      </c>
      <c r="F9" s="29">
        <v>31.884113100313819</v>
      </c>
      <c r="G9" s="29">
        <v>0</v>
      </c>
      <c r="H9" s="29">
        <v>0</v>
      </c>
      <c r="I9" s="29">
        <v>0</v>
      </c>
      <c r="J9" s="29">
        <v>0</v>
      </c>
      <c r="K9" s="29">
        <v>51.827843012021191</v>
      </c>
      <c r="L9" s="30">
        <v>0</v>
      </c>
      <c r="M9" s="30">
        <v>0</v>
      </c>
    </row>
    <row r="10" spans="1:13" x14ac:dyDescent="0.25">
      <c r="B10" s="27">
        <v>7</v>
      </c>
      <c r="C10" s="29">
        <v>27.843141697174133</v>
      </c>
      <c r="D10" s="29">
        <v>66.864069529338323</v>
      </c>
      <c r="E10" s="29">
        <v>102.09463730181209</v>
      </c>
      <c r="F10" s="29">
        <v>56.053376366397067</v>
      </c>
      <c r="G10" s="29">
        <v>0</v>
      </c>
      <c r="H10" s="29">
        <v>0</v>
      </c>
      <c r="I10" s="29">
        <v>0</v>
      </c>
      <c r="J10" s="29">
        <v>0</v>
      </c>
      <c r="K10" s="29">
        <v>48.661178267239386</v>
      </c>
      <c r="L10" s="30">
        <v>24.112353868380296</v>
      </c>
      <c r="M10" s="30">
        <v>0</v>
      </c>
    </row>
    <row r="11" spans="1:13" x14ac:dyDescent="0.25">
      <c r="B11" s="27">
        <v>8</v>
      </c>
      <c r="C11" s="29">
        <v>28.592528234260779</v>
      </c>
      <c r="D11" s="29">
        <v>78.340664396070139</v>
      </c>
      <c r="E11" s="29">
        <v>81.892931496571535</v>
      </c>
      <c r="F11" s="29">
        <v>0</v>
      </c>
      <c r="G11" s="29">
        <v>0</v>
      </c>
      <c r="H11" s="29">
        <v>0</v>
      </c>
      <c r="I11" s="29">
        <v>48.833860794886661</v>
      </c>
      <c r="J11" s="29">
        <v>0</v>
      </c>
      <c r="K11" s="29">
        <v>44.38339056207429</v>
      </c>
      <c r="L11" s="30">
        <v>0</v>
      </c>
      <c r="M11" s="30">
        <v>0</v>
      </c>
    </row>
    <row r="12" spans="1:13" x14ac:dyDescent="0.25">
      <c r="B12" s="27">
        <v>9</v>
      </c>
      <c r="C12" s="29">
        <v>50.823463378182616</v>
      </c>
      <c r="D12" s="29">
        <v>84.063566150867274</v>
      </c>
      <c r="E12" s="29">
        <v>104.55422317784814</v>
      </c>
      <c r="F12" s="29">
        <v>40.536540395864023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30">
        <v>0</v>
      </c>
      <c r="M12" s="30">
        <v>0</v>
      </c>
    </row>
    <row r="13" spans="1:13" x14ac:dyDescent="0.25">
      <c r="B13" s="27">
        <v>10</v>
      </c>
      <c r="C13" s="29">
        <v>59.832488574428432</v>
      </c>
      <c r="D13" s="29">
        <v>59.877283491851159</v>
      </c>
      <c r="E13" s="29">
        <v>83.954046154963208</v>
      </c>
      <c r="F13" s="29">
        <v>53.082471242343161</v>
      </c>
      <c r="G13" s="29">
        <v>0</v>
      </c>
      <c r="H13" s="29">
        <v>0</v>
      </c>
      <c r="I13" s="29">
        <v>37.372650074449638</v>
      </c>
      <c r="J13" s="29">
        <v>0</v>
      </c>
      <c r="K13" s="29">
        <v>18.733660641328541</v>
      </c>
      <c r="L13" s="30">
        <v>0</v>
      </c>
      <c r="M13" s="30">
        <v>0</v>
      </c>
    </row>
    <row r="14" spans="1:13" x14ac:dyDescent="0.25">
      <c r="B14" s="27">
        <v>11</v>
      </c>
      <c r="C14" s="29">
        <v>61.345495159268665</v>
      </c>
      <c r="D14" s="29">
        <v>81.667550908115189</v>
      </c>
      <c r="E14" s="29">
        <v>78.098141235619153</v>
      </c>
      <c r="F14" s="29">
        <v>66.262751330884029</v>
      </c>
      <c r="G14" s="29">
        <v>0</v>
      </c>
      <c r="H14" s="29">
        <v>0</v>
      </c>
      <c r="I14" s="29">
        <v>0</v>
      </c>
      <c r="J14" s="29">
        <v>0</v>
      </c>
      <c r="K14" s="29">
        <v>28.539679922198992</v>
      </c>
      <c r="L14" s="30">
        <v>0</v>
      </c>
      <c r="M14" s="30">
        <v>0</v>
      </c>
    </row>
    <row r="15" spans="1:13" x14ac:dyDescent="0.25">
      <c r="B15" s="27">
        <v>12</v>
      </c>
      <c r="C15" s="29">
        <v>58.90354268603248</v>
      </c>
      <c r="D15" s="29">
        <v>56.497983711119709</v>
      </c>
      <c r="E15" s="29">
        <v>0</v>
      </c>
      <c r="F15" s="29">
        <v>40.481700747052869</v>
      </c>
      <c r="G15" s="29">
        <v>0</v>
      </c>
      <c r="H15" s="29">
        <v>32.466969701137849</v>
      </c>
      <c r="I15" s="29">
        <v>58.749207494618545</v>
      </c>
      <c r="J15" s="29">
        <v>0</v>
      </c>
      <c r="K15" s="29">
        <v>26.290522366242495</v>
      </c>
      <c r="L15" s="30">
        <v>0</v>
      </c>
      <c r="M15" s="30">
        <v>0</v>
      </c>
    </row>
    <row r="16" spans="1:13" x14ac:dyDescent="0.25">
      <c r="B16" s="27">
        <v>13</v>
      </c>
      <c r="C16" s="29">
        <v>60.571514808731393</v>
      </c>
      <c r="D16" s="29">
        <v>71.193482436786454</v>
      </c>
      <c r="E16" s="29">
        <v>134.8812538529933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30">
        <v>0</v>
      </c>
      <c r="M16" s="30">
        <v>0</v>
      </c>
    </row>
    <row r="17" spans="2:13" x14ac:dyDescent="0.25">
      <c r="B17" s="27">
        <v>14</v>
      </c>
      <c r="C17" s="29">
        <v>29.338010753564848</v>
      </c>
      <c r="D17" s="29">
        <v>77.777736893562775</v>
      </c>
      <c r="E17" s="29">
        <v>126.22047354893731</v>
      </c>
      <c r="F17" s="29">
        <v>32.108565138004536</v>
      </c>
      <c r="G17" s="29">
        <v>0</v>
      </c>
      <c r="H17" s="29">
        <v>0</v>
      </c>
      <c r="I17" s="29">
        <v>59.59911359463878</v>
      </c>
      <c r="J17" s="29">
        <v>0</v>
      </c>
      <c r="K17" s="29">
        <v>44.542557404466891</v>
      </c>
      <c r="L17" s="30">
        <v>0</v>
      </c>
      <c r="M17" s="30">
        <v>0</v>
      </c>
    </row>
    <row r="18" spans="2:13" x14ac:dyDescent="0.25">
      <c r="B18" s="27">
        <v>15</v>
      </c>
      <c r="C18" s="29">
        <v>26.447123552826262</v>
      </c>
      <c r="D18" s="29">
        <v>69.39837706790513</v>
      </c>
      <c r="E18" s="29">
        <v>140.27804598904302</v>
      </c>
      <c r="F18" s="29">
        <v>62.488493226559918</v>
      </c>
      <c r="G18" s="29">
        <v>0</v>
      </c>
      <c r="H18" s="29">
        <v>0</v>
      </c>
      <c r="I18" s="29">
        <v>43.133590298919664</v>
      </c>
      <c r="J18" s="29">
        <v>0</v>
      </c>
      <c r="K18" s="29">
        <v>39.329993199250779</v>
      </c>
      <c r="L18" s="30">
        <v>0</v>
      </c>
      <c r="M18" s="30">
        <v>0</v>
      </c>
    </row>
    <row r="19" spans="2:13" x14ac:dyDescent="0.25">
      <c r="B19" s="27">
        <v>16</v>
      </c>
      <c r="C19" s="29">
        <v>49.857351942836893</v>
      </c>
      <c r="D19" s="29">
        <v>61.522764506181105</v>
      </c>
      <c r="E19" s="29">
        <v>0</v>
      </c>
      <c r="F19" s="29">
        <v>29.019264863650193</v>
      </c>
      <c r="G19" s="29">
        <v>0</v>
      </c>
      <c r="H19" s="29">
        <v>15.528810580714364</v>
      </c>
      <c r="I19" s="29">
        <v>0</v>
      </c>
      <c r="J19" s="29">
        <v>60.049062374618913</v>
      </c>
      <c r="K19" s="29">
        <v>31.314639362963238</v>
      </c>
      <c r="L19" s="30">
        <v>0</v>
      </c>
      <c r="M19" s="30">
        <v>0</v>
      </c>
    </row>
    <row r="20" spans="2:13" x14ac:dyDescent="0.25">
      <c r="B20" s="27">
        <v>17</v>
      </c>
      <c r="C20" s="29">
        <v>54.917535448526813</v>
      </c>
      <c r="D20" s="29">
        <v>79.288128469433161</v>
      </c>
      <c r="E20" s="29">
        <v>91.463478879304745</v>
      </c>
      <c r="F20" s="29">
        <v>63.307171223836292</v>
      </c>
      <c r="G20" s="29">
        <v>0</v>
      </c>
      <c r="H20" s="29">
        <v>0</v>
      </c>
      <c r="I20" s="29">
        <v>63.635586503260811</v>
      </c>
      <c r="J20" s="29">
        <v>0</v>
      </c>
      <c r="K20" s="29">
        <v>58.922888699556935</v>
      </c>
      <c r="L20" s="30">
        <v>0</v>
      </c>
      <c r="M20" s="30">
        <v>0</v>
      </c>
    </row>
    <row r="21" spans="2:13" x14ac:dyDescent="0.25">
      <c r="B21" s="27">
        <v>18</v>
      </c>
      <c r="C21" s="29">
        <v>49.185845899975916</v>
      </c>
      <c r="D21" s="29">
        <v>74.832960776285887</v>
      </c>
      <c r="E21" s="29">
        <v>0</v>
      </c>
      <c r="F21" s="29">
        <v>46.484012985699479</v>
      </c>
      <c r="G21" s="29">
        <v>0</v>
      </c>
      <c r="H21" s="29">
        <v>0</v>
      </c>
      <c r="I21" s="29">
        <v>0</v>
      </c>
      <c r="J21" s="29">
        <v>0</v>
      </c>
      <c r="K21" s="29">
        <v>54.060088513442565</v>
      </c>
      <c r="L21" s="30">
        <v>32.610957288531324</v>
      </c>
      <c r="M21" s="30">
        <v>0</v>
      </c>
    </row>
    <row r="22" spans="2:13" x14ac:dyDescent="0.25">
      <c r="B22" s="27">
        <v>19</v>
      </c>
      <c r="C22" s="29">
        <v>59.239100984290275</v>
      </c>
      <c r="D22" s="29">
        <v>91.057410609626388</v>
      </c>
      <c r="E22" s="29">
        <v>0</v>
      </c>
      <c r="F22" s="29">
        <v>58.483534717164659</v>
      </c>
      <c r="G22" s="29">
        <v>0</v>
      </c>
      <c r="H22" s="29">
        <v>0</v>
      </c>
      <c r="I22" s="29">
        <v>0</v>
      </c>
      <c r="J22" s="29">
        <v>0</v>
      </c>
      <c r="K22" s="29">
        <v>52.671782051773704</v>
      </c>
      <c r="L22" s="30">
        <v>0</v>
      </c>
      <c r="M22" s="30">
        <v>0</v>
      </c>
    </row>
    <row r="23" spans="2:13" x14ac:dyDescent="0.25">
      <c r="B23" s="27">
        <v>20</v>
      </c>
      <c r="C23" s="29">
        <v>29.013671835343409</v>
      </c>
      <c r="D23" s="29">
        <v>62.459588845868325</v>
      </c>
      <c r="E23" s="29">
        <v>83.01968066596406</v>
      </c>
      <c r="F23" s="29">
        <v>60.063396793968337</v>
      </c>
      <c r="G23" s="29">
        <v>44.427858481860554</v>
      </c>
      <c r="H23" s="29">
        <v>0</v>
      </c>
      <c r="I23" s="29">
        <v>30.380848335033033</v>
      </c>
      <c r="J23" s="29">
        <v>0</v>
      </c>
      <c r="K23" s="29">
        <v>55.044624357359659</v>
      </c>
      <c r="L23" s="30">
        <v>44.823769610979767</v>
      </c>
      <c r="M23" s="30">
        <v>0</v>
      </c>
    </row>
    <row r="24" spans="2:13" x14ac:dyDescent="0.25">
      <c r="B24" s="27">
        <v>21</v>
      </c>
      <c r="C24" s="29">
        <v>22.009928060899654</v>
      </c>
      <c r="D24" s="29">
        <v>0</v>
      </c>
      <c r="E24" s="29">
        <v>69.740190017351154</v>
      </c>
      <c r="F24" s="29">
        <v>33.151117564043787</v>
      </c>
      <c r="G24" s="29">
        <v>0</v>
      </c>
      <c r="H24" s="29">
        <v>0</v>
      </c>
      <c r="I24" s="29">
        <v>0</v>
      </c>
      <c r="J24" s="29">
        <v>0</v>
      </c>
      <c r="K24" s="29">
        <v>51.754655399869812</v>
      </c>
      <c r="L24" s="30">
        <v>0</v>
      </c>
      <c r="M24" s="30">
        <v>0</v>
      </c>
    </row>
    <row r="25" spans="2:13" x14ac:dyDescent="0.25">
      <c r="B25" s="27">
        <v>22</v>
      </c>
      <c r="C25" s="29">
        <v>34.766330146879554</v>
      </c>
      <c r="D25" s="29">
        <v>81.354660510482333</v>
      </c>
      <c r="E25" s="29">
        <v>88.403930285899946</v>
      </c>
      <c r="F25" s="29">
        <v>64.210829480599401</v>
      </c>
      <c r="G25" s="29">
        <v>0</v>
      </c>
      <c r="H25" s="29">
        <v>0</v>
      </c>
      <c r="I25" s="29">
        <v>41.440593067589134</v>
      </c>
      <c r="J25" s="29">
        <v>0</v>
      </c>
      <c r="K25" s="29">
        <v>54.662449663274529</v>
      </c>
      <c r="L25" s="30">
        <v>0</v>
      </c>
      <c r="M25" s="30">
        <v>0</v>
      </c>
    </row>
    <row r="26" spans="2:13" x14ac:dyDescent="0.25">
      <c r="B26" s="27">
        <v>23</v>
      </c>
      <c r="C26" s="29">
        <v>0</v>
      </c>
      <c r="D26" s="29">
        <v>61.083746975252183</v>
      </c>
      <c r="E26" s="29">
        <v>98.778031230842274</v>
      </c>
      <c r="F26" s="29">
        <v>49.272950472694376</v>
      </c>
      <c r="G26" s="29">
        <v>0</v>
      </c>
      <c r="H26" s="29">
        <v>38.792174762010958</v>
      </c>
      <c r="I26" s="29">
        <v>0</v>
      </c>
      <c r="J26" s="29">
        <v>0</v>
      </c>
      <c r="K26" s="29">
        <v>0</v>
      </c>
      <c r="L26" s="30">
        <v>0</v>
      </c>
      <c r="M26" s="30">
        <v>0</v>
      </c>
    </row>
    <row r="27" spans="2:13" x14ac:dyDescent="0.25">
      <c r="B27" s="27">
        <v>24</v>
      </c>
      <c r="C27" s="29">
        <v>0</v>
      </c>
      <c r="D27" s="29">
        <v>78.826939538611697</v>
      </c>
      <c r="E27" s="29">
        <v>0</v>
      </c>
      <c r="F27" s="29">
        <v>29.224823470465427</v>
      </c>
      <c r="G27" s="29">
        <v>0</v>
      </c>
      <c r="H27" s="29">
        <v>0</v>
      </c>
      <c r="I27" s="29">
        <v>0</v>
      </c>
      <c r="J27" s="29">
        <v>0</v>
      </c>
      <c r="K27" s="29">
        <v>45.581359705357912</v>
      </c>
      <c r="L27" s="30">
        <v>0</v>
      </c>
      <c r="M27" s="30">
        <v>0</v>
      </c>
    </row>
    <row r="28" spans="2:13" x14ac:dyDescent="0.25">
      <c r="B28" s="27">
        <v>25</v>
      </c>
      <c r="C28" s="29">
        <v>40.512797005016097</v>
      </c>
      <c r="D28" s="29">
        <v>76.982019919353149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57.228912262631887</v>
      </c>
      <c r="L28" s="30">
        <v>0</v>
      </c>
      <c r="M28" s="30">
        <v>0</v>
      </c>
    </row>
    <row r="29" spans="2:13" x14ac:dyDescent="0.25">
      <c r="B29" s="27">
        <v>26</v>
      </c>
      <c r="C29" s="29">
        <v>44.37790749986042</v>
      </c>
      <c r="D29" s="29">
        <v>0</v>
      </c>
      <c r="E29" s="29">
        <v>95.070840064358237</v>
      </c>
      <c r="F29" s="29">
        <v>57.308287155903088</v>
      </c>
      <c r="G29" s="29">
        <v>0</v>
      </c>
      <c r="H29" s="29">
        <v>61.681624001291112</v>
      </c>
      <c r="I29" s="29">
        <v>50.810852842268027</v>
      </c>
      <c r="J29" s="29">
        <v>0</v>
      </c>
      <c r="K29" s="29">
        <v>0</v>
      </c>
      <c r="L29" s="30">
        <v>0</v>
      </c>
      <c r="M29" s="30">
        <v>0</v>
      </c>
    </row>
    <row r="30" spans="2:13" x14ac:dyDescent="0.25">
      <c r="B30" s="27">
        <v>27</v>
      </c>
      <c r="C30" s="29">
        <v>28.289463833994301</v>
      </c>
      <c r="D30" s="29">
        <v>64.660673303678095</v>
      </c>
      <c r="E30" s="29">
        <v>92.550853716201544</v>
      </c>
      <c r="F30" s="29">
        <v>66.200942570169261</v>
      </c>
      <c r="G30" s="29">
        <v>0</v>
      </c>
      <c r="H30" s="29">
        <v>0</v>
      </c>
      <c r="I30" s="29">
        <v>0</v>
      </c>
      <c r="J30" s="29">
        <v>47.109257633733222</v>
      </c>
      <c r="K30" s="29">
        <v>49.463184176458277</v>
      </c>
      <c r="L30" s="30">
        <v>0</v>
      </c>
      <c r="M30" s="30">
        <v>0</v>
      </c>
    </row>
    <row r="31" spans="2:13" x14ac:dyDescent="0.25">
      <c r="B31" s="27">
        <v>28</v>
      </c>
      <c r="C31" s="29">
        <v>58.100804350458368</v>
      </c>
      <c r="D31" s="29">
        <v>61.17261127701731</v>
      </c>
      <c r="E31" s="29">
        <v>132.91329665506686</v>
      </c>
      <c r="F31" s="29">
        <v>35.512590167644731</v>
      </c>
      <c r="G31" s="29">
        <v>0</v>
      </c>
      <c r="H31" s="29">
        <v>0</v>
      </c>
      <c r="I31" s="29">
        <v>60.109264881130031</v>
      </c>
      <c r="J31" s="29">
        <v>0</v>
      </c>
      <c r="K31" s="29">
        <v>33.487968127353732</v>
      </c>
      <c r="L31" s="30">
        <v>48.284692265669726</v>
      </c>
      <c r="M31" s="30">
        <v>0</v>
      </c>
    </row>
    <row r="32" spans="2:13" x14ac:dyDescent="0.25">
      <c r="B32" s="27">
        <v>29</v>
      </c>
      <c r="C32" s="29">
        <v>0</v>
      </c>
      <c r="D32" s="29">
        <v>94.107588470194742</v>
      </c>
      <c r="E32" s="29">
        <v>102.86133122798776</v>
      </c>
      <c r="F32" s="29">
        <v>28.550763849001687</v>
      </c>
      <c r="G32" s="29">
        <v>0</v>
      </c>
      <c r="H32" s="29">
        <v>0</v>
      </c>
      <c r="I32" s="29">
        <v>35.937714283851953</v>
      </c>
      <c r="J32" s="29">
        <v>63.801471243282322</v>
      </c>
      <c r="K32" s="29">
        <v>0</v>
      </c>
      <c r="L32" s="30">
        <v>0</v>
      </c>
      <c r="M32" s="30">
        <v>0</v>
      </c>
    </row>
    <row r="33" spans="2:13" x14ac:dyDescent="0.25">
      <c r="B33" s="27">
        <v>30</v>
      </c>
      <c r="C33" s="29">
        <v>31.066392527684378</v>
      </c>
      <c r="D33" s="29">
        <v>88.688861084996674</v>
      </c>
      <c r="E33" s="29">
        <v>80.331749940026384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30">
        <v>0</v>
      </c>
      <c r="M33" s="30">
        <v>0</v>
      </c>
    </row>
    <row r="34" spans="2:13" x14ac:dyDescent="0.25">
      <c r="B34" s="27">
        <v>31</v>
      </c>
      <c r="C34" s="29">
        <v>37.679717985649106</v>
      </c>
      <c r="D34" s="29">
        <v>59.059656781935949</v>
      </c>
      <c r="E34" s="29">
        <v>71.625958483031113</v>
      </c>
      <c r="F34" s="29">
        <v>46.376929771641656</v>
      </c>
      <c r="G34" s="29">
        <v>39.352151791052179</v>
      </c>
      <c r="H34" s="29">
        <v>43.613413804995524</v>
      </c>
      <c r="I34" s="29">
        <v>0</v>
      </c>
      <c r="J34" s="29">
        <v>0</v>
      </c>
      <c r="K34" s="29">
        <v>0</v>
      </c>
      <c r="L34" s="30">
        <v>0</v>
      </c>
      <c r="M34" s="30">
        <v>0</v>
      </c>
    </row>
    <row r="35" spans="2:13" x14ac:dyDescent="0.25">
      <c r="B35" s="27">
        <v>32</v>
      </c>
      <c r="C35" s="29">
        <v>34.613716508931212</v>
      </c>
      <c r="D35" s="29">
        <v>76.209088892994373</v>
      </c>
      <c r="E35" s="29">
        <v>84.759893021007343</v>
      </c>
      <c r="F35" s="29">
        <v>30.58876351198791</v>
      </c>
      <c r="G35" s="29">
        <v>0</v>
      </c>
      <c r="H35" s="29">
        <v>0</v>
      </c>
      <c r="I35" s="29">
        <v>67.470197267341248</v>
      </c>
      <c r="J35" s="29">
        <v>0</v>
      </c>
      <c r="K35" s="29">
        <v>34.601966350172972</v>
      </c>
      <c r="L35" s="30">
        <v>0</v>
      </c>
      <c r="M35" s="30">
        <v>0</v>
      </c>
    </row>
    <row r="36" spans="2:13" x14ac:dyDescent="0.25">
      <c r="B36" s="27">
        <v>33</v>
      </c>
      <c r="C36" s="29">
        <v>61.842181986929837</v>
      </c>
      <c r="D36" s="29">
        <v>78.096274863724489</v>
      </c>
      <c r="E36" s="29">
        <v>78.353968786077843</v>
      </c>
      <c r="F36" s="29">
        <v>44.339241236550663</v>
      </c>
      <c r="G36" s="29">
        <v>0</v>
      </c>
      <c r="H36" s="29">
        <v>59.200583877127237</v>
      </c>
      <c r="I36" s="29">
        <v>0</v>
      </c>
      <c r="J36" s="29">
        <v>0</v>
      </c>
      <c r="K36" s="29">
        <v>41.939781060703183</v>
      </c>
      <c r="L36" s="30">
        <v>0</v>
      </c>
      <c r="M36" s="30">
        <v>0</v>
      </c>
    </row>
    <row r="37" spans="2:13" x14ac:dyDescent="0.25">
      <c r="B37" s="27">
        <v>34</v>
      </c>
      <c r="C37" s="29">
        <v>45.60493048275503</v>
      </c>
      <c r="D37" s="29">
        <v>0</v>
      </c>
      <c r="E37" s="29">
        <v>71.760065320706204</v>
      </c>
      <c r="F37" s="29">
        <v>49.837540818155254</v>
      </c>
      <c r="G37" s="29">
        <v>0</v>
      </c>
      <c r="H37" s="29">
        <v>0</v>
      </c>
      <c r="I37" s="29">
        <v>0</v>
      </c>
      <c r="J37" s="29">
        <v>0</v>
      </c>
      <c r="K37" s="29">
        <v>48.218558521747411</v>
      </c>
      <c r="L37" s="30">
        <v>0</v>
      </c>
      <c r="M37" s="30">
        <v>0</v>
      </c>
    </row>
    <row r="38" spans="2:13" x14ac:dyDescent="0.25">
      <c r="B38" s="27">
        <v>35</v>
      </c>
      <c r="C38" s="29">
        <v>59.150066442428837</v>
      </c>
      <c r="D38" s="29">
        <v>83.163680830844939</v>
      </c>
      <c r="E38" s="29">
        <v>76.939703126174336</v>
      </c>
      <c r="F38" s="29">
        <v>28.409764837539768</v>
      </c>
      <c r="G38" s="29">
        <v>0</v>
      </c>
      <c r="H38" s="29">
        <v>0</v>
      </c>
      <c r="I38" s="29">
        <v>0</v>
      </c>
      <c r="J38" s="29">
        <v>0</v>
      </c>
      <c r="K38" s="29">
        <v>17.565697837489157</v>
      </c>
      <c r="L38" s="30">
        <v>0</v>
      </c>
      <c r="M38" s="30">
        <v>0</v>
      </c>
    </row>
    <row r="39" spans="2:13" x14ac:dyDescent="0.25">
      <c r="B39" s="27">
        <v>36</v>
      </c>
      <c r="C39" s="29">
        <v>31.086676277383873</v>
      </c>
      <c r="D39" s="29">
        <v>80.769660573653056</v>
      </c>
      <c r="E39" s="29">
        <v>0</v>
      </c>
      <c r="F39" s="29">
        <v>28.332810550564936</v>
      </c>
      <c r="G39" s="29">
        <v>0</v>
      </c>
      <c r="H39" s="29">
        <v>0</v>
      </c>
      <c r="I39" s="29">
        <v>38.722521680124906</v>
      </c>
      <c r="J39" s="29">
        <v>29.150237559499189</v>
      </c>
      <c r="K39" s="29">
        <v>58.605956615821867</v>
      </c>
      <c r="L39" s="30">
        <v>0</v>
      </c>
      <c r="M39" s="30">
        <v>0</v>
      </c>
    </row>
    <row r="40" spans="2:13" x14ac:dyDescent="0.25">
      <c r="B40" s="27">
        <v>37</v>
      </c>
      <c r="C40" s="29">
        <v>52.963747076753791</v>
      </c>
      <c r="D40" s="29">
        <v>76.192481391302181</v>
      </c>
      <c r="E40" s="29">
        <v>0</v>
      </c>
      <c r="F40" s="29">
        <v>0</v>
      </c>
      <c r="G40" s="29">
        <v>0</v>
      </c>
      <c r="H40" s="29">
        <v>62.176948524295398</v>
      </c>
      <c r="I40" s="29">
        <v>0</v>
      </c>
      <c r="J40" s="29">
        <v>0</v>
      </c>
      <c r="K40" s="29">
        <v>42.256018786915995</v>
      </c>
      <c r="L40" s="30">
        <v>0</v>
      </c>
      <c r="M40" s="30">
        <v>0</v>
      </c>
    </row>
    <row r="41" spans="2:13" x14ac:dyDescent="0.25">
      <c r="B41" s="27">
        <v>38</v>
      </c>
      <c r="C41" s="29">
        <v>52.788957451554872</v>
      </c>
      <c r="D41" s="29">
        <v>69.070730292382564</v>
      </c>
      <c r="E41" s="29">
        <v>92.967926337924055</v>
      </c>
      <c r="F41" s="29">
        <v>39.445097266785837</v>
      </c>
      <c r="G41" s="29">
        <v>0</v>
      </c>
      <c r="H41" s="29">
        <v>0</v>
      </c>
      <c r="I41" s="29">
        <v>64.435699433225096</v>
      </c>
      <c r="J41" s="29">
        <v>0</v>
      </c>
      <c r="K41" s="29">
        <v>57.50989606140989</v>
      </c>
      <c r="L41" s="30">
        <v>0</v>
      </c>
      <c r="M41" s="30">
        <v>0</v>
      </c>
    </row>
    <row r="42" spans="2:13" x14ac:dyDescent="0.25">
      <c r="B42" s="27">
        <v>39</v>
      </c>
      <c r="C42" s="29">
        <v>36.964436972776269</v>
      </c>
      <c r="D42" s="29">
        <v>66.217932150982634</v>
      </c>
      <c r="E42" s="29">
        <v>85.893937930904713</v>
      </c>
      <c r="F42" s="29">
        <v>59.913933008015398</v>
      </c>
      <c r="G42" s="29">
        <v>0</v>
      </c>
      <c r="H42" s="29">
        <v>0</v>
      </c>
      <c r="I42" s="29">
        <v>37.353456350963455</v>
      </c>
      <c r="J42" s="29">
        <v>0</v>
      </c>
      <c r="K42" s="29">
        <v>41.834578056603888</v>
      </c>
      <c r="L42" s="30">
        <v>0</v>
      </c>
      <c r="M42" s="30">
        <v>0</v>
      </c>
    </row>
    <row r="43" spans="2:13" x14ac:dyDescent="0.25">
      <c r="B43" s="27">
        <v>40</v>
      </c>
      <c r="C43" s="29">
        <v>46.006166784903044</v>
      </c>
      <c r="D43" s="29">
        <v>61.135082758428794</v>
      </c>
      <c r="E43" s="29">
        <v>81.565269030503302</v>
      </c>
      <c r="F43" s="29">
        <v>37.676153109531427</v>
      </c>
      <c r="G43" s="29">
        <v>0</v>
      </c>
      <c r="H43" s="29">
        <v>0</v>
      </c>
      <c r="I43" s="29">
        <v>50.937312317581672</v>
      </c>
      <c r="J43" s="29">
        <v>0</v>
      </c>
      <c r="K43" s="29">
        <v>37.33578676639857</v>
      </c>
      <c r="L43" s="30">
        <v>0</v>
      </c>
      <c r="M43" s="30">
        <v>0</v>
      </c>
    </row>
    <row r="44" spans="2:13" x14ac:dyDescent="0.25">
      <c r="B44" s="27">
        <v>41</v>
      </c>
      <c r="C44" s="29">
        <v>43.769381739159464</v>
      </c>
      <c r="D44" s="29">
        <v>72.233044056584063</v>
      </c>
      <c r="E44" s="29">
        <v>0</v>
      </c>
      <c r="F44" s="29">
        <v>0</v>
      </c>
      <c r="G44" s="29">
        <v>0</v>
      </c>
      <c r="H44" s="29">
        <v>40.782317411028046</v>
      </c>
      <c r="I44" s="29">
        <v>0</v>
      </c>
      <c r="J44" s="29">
        <v>0</v>
      </c>
      <c r="K44" s="29">
        <v>60.840610221955004</v>
      </c>
      <c r="L44" s="30">
        <v>0</v>
      </c>
      <c r="M44" s="30">
        <v>0</v>
      </c>
    </row>
    <row r="45" spans="2:13" x14ac:dyDescent="0.25">
      <c r="B45" s="27">
        <v>42</v>
      </c>
      <c r="C45" s="29">
        <v>13.034108541488017</v>
      </c>
      <c r="D45" s="29">
        <v>0</v>
      </c>
      <c r="E45" s="29">
        <v>117.11081612654009</v>
      </c>
      <c r="F45" s="29">
        <v>38.567058108756733</v>
      </c>
      <c r="G45" s="29">
        <v>0</v>
      </c>
      <c r="H45" s="29">
        <v>38.129469671919196</v>
      </c>
      <c r="I45" s="29">
        <v>52.542895463292183</v>
      </c>
      <c r="J45" s="29">
        <v>24.649963054923127</v>
      </c>
      <c r="K45" s="29">
        <v>0</v>
      </c>
      <c r="L45" s="30">
        <v>0</v>
      </c>
      <c r="M45" s="30">
        <v>0</v>
      </c>
    </row>
    <row r="46" spans="2:13" x14ac:dyDescent="0.25">
      <c r="B46" s="27">
        <v>43</v>
      </c>
      <c r="C46" s="29">
        <v>48.508842730742508</v>
      </c>
      <c r="D46" s="29">
        <v>77.147134902859449</v>
      </c>
      <c r="E46" s="29">
        <v>101.31650419517837</v>
      </c>
      <c r="F46" s="29">
        <v>36.316091360949599</v>
      </c>
      <c r="G46" s="29">
        <v>42.472144319018241</v>
      </c>
      <c r="H46" s="29">
        <v>0</v>
      </c>
      <c r="I46" s="29">
        <v>58.158370819579531</v>
      </c>
      <c r="J46" s="29">
        <v>0</v>
      </c>
      <c r="K46" s="29">
        <v>49.572176891520598</v>
      </c>
      <c r="L46" s="30">
        <v>0</v>
      </c>
      <c r="M46" s="30">
        <v>0</v>
      </c>
    </row>
    <row r="47" spans="2:13" x14ac:dyDescent="0.25">
      <c r="B47" s="27">
        <v>44</v>
      </c>
      <c r="C47" s="29">
        <v>58.17807369185492</v>
      </c>
      <c r="D47" s="29">
        <v>82.631622746193102</v>
      </c>
      <c r="E47" s="29">
        <v>117.70342558412545</v>
      </c>
      <c r="F47" s="29">
        <v>52.686040311673182</v>
      </c>
      <c r="G47" s="29">
        <v>66.722752294968757</v>
      </c>
      <c r="H47" s="29">
        <v>67.370057707038384</v>
      </c>
      <c r="I47" s="29">
        <v>0</v>
      </c>
      <c r="J47" s="29">
        <v>37.877147484066334</v>
      </c>
      <c r="K47" s="29">
        <v>0</v>
      </c>
      <c r="L47" s="30">
        <v>0</v>
      </c>
      <c r="M47" s="30">
        <v>0</v>
      </c>
    </row>
    <row r="48" spans="2:13" x14ac:dyDescent="0.25">
      <c r="B48" s="27">
        <v>45</v>
      </c>
      <c r="C48" s="29">
        <v>47.467012366568788</v>
      </c>
      <c r="D48" s="29">
        <v>72.617736453229071</v>
      </c>
      <c r="E48" s="29">
        <v>120.69920298993115</v>
      </c>
      <c r="F48" s="29">
        <v>0</v>
      </c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30">
        <v>0</v>
      </c>
      <c r="M48" s="30">
        <v>0</v>
      </c>
    </row>
    <row r="49" spans="2:13" x14ac:dyDescent="0.25">
      <c r="B49" s="27">
        <v>46</v>
      </c>
      <c r="C49" s="29">
        <v>34.02236384203357</v>
      </c>
      <c r="D49" s="29">
        <v>0</v>
      </c>
      <c r="E49" s="29">
        <v>0</v>
      </c>
      <c r="F49" s="29">
        <v>52.863952336419629</v>
      </c>
      <c r="G49" s="29">
        <v>0</v>
      </c>
      <c r="H49" s="29">
        <v>0</v>
      </c>
      <c r="I49" s="29">
        <v>45.779494311746291</v>
      </c>
      <c r="J49" s="29">
        <v>0</v>
      </c>
      <c r="K49" s="29">
        <v>54.610705704947435</v>
      </c>
      <c r="L49" s="30">
        <v>0</v>
      </c>
      <c r="M49" s="30">
        <v>0</v>
      </c>
    </row>
    <row r="50" spans="2:13" x14ac:dyDescent="0.25">
      <c r="B50" s="27">
        <v>47</v>
      </c>
      <c r="C50" s="29">
        <v>22.455662874004723</v>
      </c>
      <c r="D50" s="29">
        <v>75.097273564285857</v>
      </c>
      <c r="E50" s="29">
        <v>145.82052108427982</v>
      </c>
      <c r="F50" s="29">
        <v>27.65788226779404</v>
      </c>
      <c r="G50" s="29">
        <v>0</v>
      </c>
      <c r="H50" s="29">
        <v>51.770574612990579</v>
      </c>
      <c r="I50" s="29">
        <v>0</v>
      </c>
      <c r="J50" s="29">
        <v>0</v>
      </c>
      <c r="K50" s="29">
        <v>49.76483098549167</v>
      </c>
      <c r="L50" s="30">
        <v>0</v>
      </c>
      <c r="M50" s="30">
        <v>0</v>
      </c>
    </row>
    <row r="51" spans="2:13" x14ac:dyDescent="0.25">
      <c r="B51" s="27">
        <v>48</v>
      </c>
      <c r="C51" s="29">
        <v>39.422575297444652</v>
      </c>
      <c r="D51" s="29">
        <v>66.097683723236031</v>
      </c>
      <c r="E51" s="29">
        <v>0</v>
      </c>
      <c r="F51" s="29">
        <v>50.428411376620367</v>
      </c>
      <c r="G51" s="29">
        <v>58.589121643658061</v>
      </c>
      <c r="H51" s="29">
        <v>57.974919084284849</v>
      </c>
      <c r="I51" s="29">
        <v>0</v>
      </c>
      <c r="J51" s="29">
        <v>0</v>
      </c>
      <c r="K51" s="29">
        <v>39.207080940804786</v>
      </c>
      <c r="L51" s="30">
        <v>0</v>
      </c>
      <c r="M51" s="30">
        <v>0</v>
      </c>
    </row>
    <row r="52" spans="2:13" x14ac:dyDescent="0.25">
      <c r="B52" s="27">
        <v>49</v>
      </c>
      <c r="C52" s="29">
        <v>45.308020184455124</v>
      </c>
      <c r="D52" s="29">
        <v>0</v>
      </c>
      <c r="E52" s="29">
        <v>81.823938777842329</v>
      </c>
      <c r="F52" s="29">
        <v>47.627096417299249</v>
      </c>
      <c r="G52" s="29">
        <v>0</v>
      </c>
      <c r="H52" s="29">
        <v>0</v>
      </c>
      <c r="I52" s="29">
        <v>44.61041713719986</v>
      </c>
      <c r="J52" s="29">
        <v>0</v>
      </c>
      <c r="K52" s="29">
        <v>43.913066256534535</v>
      </c>
      <c r="L52" s="30">
        <v>0</v>
      </c>
      <c r="M52" s="30">
        <v>0</v>
      </c>
    </row>
    <row r="53" spans="2:13" x14ac:dyDescent="0.25">
      <c r="B53" s="27">
        <v>50</v>
      </c>
      <c r="C53" s="29">
        <v>35.796888913560466</v>
      </c>
      <c r="D53" s="29">
        <v>80.991221773681602</v>
      </c>
      <c r="E53" s="29">
        <v>0</v>
      </c>
      <c r="F53" s="29">
        <v>39.783671267708755</v>
      </c>
      <c r="G53" s="29">
        <v>0</v>
      </c>
      <c r="H53" s="29">
        <v>0</v>
      </c>
      <c r="I53" s="29">
        <v>0</v>
      </c>
      <c r="J53" s="29">
        <v>0</v>
      </c>
      <c r="K53" s="29">
        <v>47.730943661415864</v>
      </c>
      <c r="L53" s="30">
        <v>0</v>
      </c>
      <c r="M53" s="30">
        <v>0</v>
      </c>
    </row>
    <row r="54" spans="2:13" x14ac:dyDescent="0.25">
      <c r="B54" s="27">
        <v>51</v>
      </c>
      <c r="C54" s="29">
        <v>19.879535079248292</v>
      </c>
      <c r="D54" s="29">
        <v>0</v>
      </c>
      <c r="E54" s="29">
        <v>92.623508591093639</v>
      </c>
      <c r="F54" s="29">
        <v>55.42297860323643</v>
      </c>
      <c r="G54" s="29">
        <v>0</v>
      </c>
      <c r="H54" s="29">
        <v>62.878723404433764</v>
      </c>
      <c r="I54" s="29">
        <v>61.716497153340256</v>
      </c>
      <c r="J54" s="29">
        <v>0</v>
      </c>
      <c r="K54" s="29">
        <v>57.442840025490327</v>
      </c>
      <c r="L54" s="30">
        <v>0</v>
      </c>
      <c r="M54" s="30">
        <v>0</v>
      </c>
    </row>
    <row r="55" spans="2:13" x14ac:dyDescent="0.25">
      <c r="B55" s="27">
        <v>52</v>
      </c>
      <c r="C55" s="29">
        <v>22.458050861270866</v>
      </c>
      <c r="D55" s="29">
        <v>79.928989972340659</v>
      </c>
      <c r="E55" s="29">
        <v>144.70442880854935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9">
        <v>36.109551755831738</v>
      </c>
      <c r="L55" s="30">
        <v>0</v>
      </c>
      <c r="M55" s="30">
        <v>0</v>
      </c>
    </row>
    <row r="56" spans="2:13" x14ac:dyDescent="0.25">
      <c r="B56" s="27">
        <v>53</v>
      </c>
      <c r="C56" s="29">
        <v>44.009150352918304</v>
      </c>
      <c r="D56" s="29">
        <v>70.622639965566748</v>
      </c>
      <c r="E56" s="29">
        <v>97.965348492197307</v>
      </c>
      <c r="F56" s="29">
        <v>61.915288701827151</v>
      </c>
      <c r="G56" s="29">
        <v>0</v>
      </c>
      <c r="H56" s="29">
        <v>37.412665255416066</v>
      </c>
      <c r="I56" s="29">
        <v>43.360134797807959</v>
      </c>
      <c r="J56" s="29">
        <v>0</v>
      </c>
      <c r="K56" s="29">
        <v>47.795738489770685</v>
      </c>
      <c r="L56" s="30">
        <v>0</v>
      </c>
      <c r="M56" s="30">
        <v>0</v>
      </c>
    </row>
    <row r="57" spans="2:13" x14ac:dyDescent="0.25">
      <c r="B57" s="27">
        <v>54</v>
      </c>
      <c r="C57" s="29">
        <v>62.595248857431322</v>
      </c>
      <c r="D57" s="29">
        <v>71.21147091492422</v>
      </c>
      <c r="E57" s="29">
        <v>79.605596823401072</v>
      </c>
      <c r="F57" s="29">
        <v>51.162266905514571</v>
      </c>
      <c r="G57" s="29">
        <v>0</v>
      </c>
      <c r="H57" s="29">
        <v>52.35802695832497</v>
      </c>
      <c r="I57" s="29">
        <v>48.548404290599258</v>
      </c>
      <c r="J57" s="29">
        <v>0</v>
      </c>
      <c r="K57" s="29">
        <v>55.669024602446875</v>
      </c>
      <c r="L57" s="30">
        <v>0</v>
      </c>
      <c r="M57" s="30">
        <v>0</v>
      </c>
    </row>
    <row r="58" spans="2:13" x14ac:dyDescent="0.25">
      <c r="B58" s="27">
        <v>55</v>
      </c>
      <c r="C58" s="29">
        <v>19.471588715877143</v>
      </c>
      <c r="D58" s="29">
        <v>90.804535941207916</v>
      </c>
      <c r="E58" s="29">
        <v>113.72189099993454</v>
      </c>
      <c r="F58" s="29">
        <v>0</v>
      </c>
      <c r="G58" s="29">
        <v>0</v>
      </c>
      <c r="H58" s="29">
        <v>0</v>
      </c>
      <c r="I58" s="29">
        <v>44.844863915587418</v>
      </c>
      <c r="J58" s="29">
        <v>0</v>
      </c>
      <c r="K58" s="29">
        <v>0</v>
      </c>
      <c r="L58" s="30">
        <v>0</v>
      </c>
      <c r="M58" s="30">
        <v>0</v>
      </c>
    </row>
    <row r="59" spans="2:13" x14ac:dyDescent="0.25">
      <c r="B59" s="27">
        <v>56</v>
      </c>
      <c r="C59" s="29">
        <v>59.703210514071138</v>
      </c>
      <c r="D59" s="29">
        <v>79.199507325984769</v>
      </c>
      <c r="E59" s="29">
        <v>123.60827954478297</v>
      </c>
      <c r="F59" s="29">
        <v>12.562514751976869</v>
      </c>
      <c r="G59" s="29">
        <v>0</v>
      </c>
      <c r="H59" s="29">
        <v>0</v>
      </c>
      <c r="I59" s="29">
        <v>37.394873921941496</v>
      </c>
      <c r="J59" s="29">
        <v>0</v>
      </c>
      <c r="K59" s="29">
        <v>17.393962941251843</v>
      </c>
      <c r="L59" s="30">
        <v>0</v>
      </c>
      <c r="M59" s="30">
        <v>0</v>
      </c>
    </row>
    <row r="60" spans="2:13" x14ac:dyDescent="0.25">
      <c r="B60" s="27">
        <v>57</v>
      </c>
      <c r="C60" s="29">
        <v>0</v>
      </c>
      <c r="D60" s="29">
        <v>57.582371616802874</v>
      </c>
      <c r="E60" s="29">
        <v>114.25445008897582</v>
      </c>
      <c r="F60" s="29">
        <v>29.831420548585918</v>
      </c>
      <c r="G60" s="29">
        <v>0</v>
      </c>
      <c r="H60" s="29">
        <v>0</v>
      </c>
      <c r="I60" s="29">
        <v>25.332752803587283</v>
      </c>
      <c r="J60" s="29">
        <v>0</v>
      </c>
      <c r="K60" s="29">
        <v>32.118573559290304</v>
      </c>
      <c r="L60" s="30">
        <v>0</v>
      </c>
      <c r="M60" s="30">
        <v>0</v>
      </c>
    </row>
    <row r="61" spans="2:13" x14ac:dyDescent="0.25">
      <c r="B61" s="27">
        <v>58</v>
      </c>
      <c r="C61" s="29">
        <v>46.802731446780179</v>
      </c>
      <c r="D61" s="29">
        <v>67.544767820831837</v>
      </c>
      <c r="E61" s="29">
        <v>116.9718715982512</v>
      </c>
      <c r="F61" s="29">
        <v>44.304481132005378</v>
      </c>
      <c r="G61" s="29">
        <v>0</v>
      </c>
      <c r="H61" s="29">
        <v>20.830550439691795</v>
      </c>
      <c r="I61" s="29">
        <v>40.247996054305581</v>
      </c>
      <c r="J61" s="29">
        <v>0</v>
      </c>
      <c r="K61" s="29">
        <v>31.436886817869642</v>
      </c>
      <c r="L61" s="30">
        <v>0</v>
      </c>
      <c r="M61" s="30">
        <v>0</v>
      </c>
    </row>
    <row r="62" spans="2:13" x14ac:dyDescent="0.25">
      <c r="B62" s="27">
        <v>59</v>
      </c>
      <c r="C62" s="29">
        <v>48.201928282466071</v>
      </c>
      <c r="D62" s="29">
        <v>75.696668852663635</v>
      </c>
      <c r="E62" s="29">
        <v>0</v>
      </c>
      <c r="F62" s="29">
        <v>48.647379647334041</v>
      </c>
      <c r="G62" s="29">
        <v>0</v>
      </c>
      <c r="H62" s="29">
        <v>0</v>
      </c>
      <c r="I62" s="29">
        <v>63.022597928631697</v>
      </c>
      <c r="J62" s="29">
        <v>34.952638499222857</v>
      </c>
      <c r="K62" s="29">
        <v>32.272278286229891</v>
      </c>
      <c r="L62" s="30">
        <v>0</v>
      </c>
      <c r="M62" s="30">
        <v>0</v>
      </c>
    </row>
    <row r="63" spans="2:13" x14ac:dyDescent="0.25">
      <c r="B63" s="27">
        <v>60</v>
      </c>
      <c r="C63" s="29">
        <v>64.369755818909368</v>
      </c>
      <c r="D63" s="29">
        <v>76.745925186725557</v>
      </c>
      <c r="E63" s="29">
        <v>88.844572195400531</v>
      </c>
      <c r="F63" s="29">
        <v>50.341162658807391</v>
      </c>
      <c r="G63" s="29">
        <v>0</v>
      </c>
      <c r="H63" s="29">
        <v>0</v>
      </c>
      <c r="I63" s="29">
        <v>0</v>
      </c>
      <c r="J63" s="29">
        <v>0</v>
      </c>
      <c r="K63" s="29">
        <v>43.604037239571227</v>
      </c>
      <c r="L63" s="30">
        <v>0</v>
      </c>
      <c r="M63" s="30">
        <v>0</v>
      </c>
    </row>
    <row r="64" spans="2:13" x14ac:dyDescent="0.25">
      <c r="B64" s="27">
        <v>61</v>
      </c>
      <c r="C64" s="29">
        <v>0</v>
      </c>
      <c r="D64" s="29">
        <v>90.297321343567958</v>
      </c>
      <c r="E64" s="29">
        <v>0</v>
      </c>
      <c r="F64" s="29">
        <v>55.42275699685738</v>
      </c>
      <c r="G64" s="29">
        <v>0</v>
      </c>
      <c r="H64" s="29">
        <v>0</v>
      </c>
      <c r="I64" s="29">
        <v>23.757787874176419</v>
      </c>
      <c r="J64" s="29">
        <v>0</v>
      </c>
      <c r="K64" s="29">
        <v>0</v>
      </c>
      <c r="L64" s="30">
        <v>0</v>
      </c>
      <c r="M64" s="30">
        <v>0</v>
      </c>
    </row>
    <row r="65" spans="2:13" x14ac:dyDescent="0.25">
      <c r="B65" s="27">
        <v>62</v>
      </c>
      <c r="C65" s="29">
        <v>31.936869449716095</v>
      </c>
      <c r="D65" s="29">
        <v>79.292895449001179</v>
      </c>
      <c r="E65" s="29">
        <v>120.93096655280627</v>
      </c>
      <c r="F65" s="29">
        <v>33.137694513343945</v>
      </c>
      <c r="G65" s="29">
        <v>0</v>
      </c>
      <c r="H65" s="29">
        <v>0</v>
      </c>
      <c r="I65" s="29">
        <v>44.517598339400017</v>
      </c>
      <c r="J65" s="29">
        <v>0</v>
      </c>
      <c r="K65" s="29">
        <v>48.825277181765216</v>
      </c>
      <c r="L65" s="30">
        <v>0</v>
      </c>
      <c r="M65" s="30">
        <v>0</v>
      </c>
    </row>
    <row r="66" spans="2:13" x14ac:dyDescent="0.25">
      <c r="B66" s="27">
        <v>63</v>
      </c>
      <c r="C66" s="29">
        <v>38.023867650619522</v>
      </c>
      <c r="D66" s="29">
        <v>0</v>
      </c>
      <c r="E66" s="29">
        <v>125.65784145193888</v>
      </c>
      <c r="F66" s="29">
        <v>20.294889702101308</v>
      </c>
      <c r="G66" s="29">
        <v>0</v>
      </c>
      <c r="H66" s="29">
        <v>0</v>
      </c>
      <c r="I66" s="29">
        <v>0</v>
      </c>
      <c r="J66" s="29">
        <v>0</v>
      </c>
      <c r="K66" s="29">
        <v>63.416327098150575</v>
      </c>
      <c r="L66" s="30">
        <v>0</v>
      </c>
      <c r="M66" s="30">
        <v>0</v>
      </c>
    </row>
    <row r="67" spans="2:13" x14ac:dyDescent="0.25">
      <c r="B67" s="27">
        <v>64</v>
      </c>
      <c r="C67" s="29">
        <v>63.380796333607357</v>
      </c>
      <c r="D67" s="29">
        <v>79.200781595679985</v>
      </c>
      <c r="E67" s="29">
        <v>97.09676635517917</v>
      </c>
      <c r="F67" s="29">
        <v>0</v>
      </c>
      <c r="G67" s="29">
        <v>0</v>
      </c>
      <c r="H67" s="29">
        <v>0</v>
      </c>
      <c r="I67" s="29">
        <v>51.867277852535857</v>
      </c>
      <c r="J67" s="29">
        <v>0</v>
      </c>
      <c r="K67" s="29">
        <v>42.213513592352285</v>
      </c>
      <c r="L67" s="30">
        <v>32.808521934326038</v>
      </c>
      <c r="M67" s="30">
        <v>0</v>
      </c>
    </row>
    <row r="68" spans="2:13" x14ac:dyDescent="0.25">
      <c r="B68" s="27">
        <v>65</v>
      </c>
      <c r="C68" s="29">
        <v>42.724615043192408</v>
      </c>
      <c r="D68" s="29">
        <v>0</v>
      </c>
      <c r="E68" s="29">
        <v>0</v>
      </c>
      <c r="F68" s="29">
        <v>45.768495399404671</v>
      </c>
      <c r="G68" s="29">
        <v>0</v>
      </c>
      <c r="H68" s="29">
        <v>0</v>
      </c>
      <c r="I68" s="29">
        <v>42.961519677077113</v>
      </c>
      <c r="J68" s="29">
        <v>0</v>
      </c>
      <c r="K68" s="29">
        <v>44.448515330547025</v>
      </c>
      <c r="L68" s="30">
        <v>0</v>
      </c>
      <c r="M68" s="30">
        <v>0</v>
      </c>
    </row>
    <row r="69" spans="2:13" x14ac:dyDescent="0.25">
      <c r="B69" s="27">
        <v>66</v>
      </c>
      <c r="C69" s="29">
        <v>20.57317012481041</v>
      </c>
      <c r="D69" s="29">
        <v>65.437643736208045</v>
      </c>
      <c r="E69" s="29">
        <v>85.521747407425337</v>
      </c>
      <c r="F69" s="29">
        <v>33.637969756338236</v>
      </c>
      <c r="G69" s="29">
        <v>53.353232511161721</v>
      </c>
      <c r="H69" s="29">
        <v>0</v>
      </c>
      <c r="I69" s="29">
        <v>31.472384523414007</v>
      </c>
      <c r="J69" s="29">
        <v>0</v>
      </c>
      <c r="K69" s="29">
        <v>19.493373486965005</v>
      </c>
      <c r="L69" s="30">
        <v>0</v>
      </c>
      <c r="M69" s="30">
        <v>0</v>
      </c>
    </row>
    <row r="70" spans="2:13" x14ac:dyDescent="0.25">
      <c r="B70" s="27">
        <v>67</v>
      </c>
      <c r="C70" s="29">
        <v>26.274879943688145</v>
      </c>
      <c r="D70" s="29">
        <v>68.925994381946964</v>
      </c>
      <c r="E70" s="29">
        <v>0</v>
      </c>
      <c r="F70" s="29">
        <v>56.755674656151257</v>
      </c>
      <c r="G70" s="29">
        <v>0</v>
      </c>
      <c r="H70" s="29">
        <v>0</v>
      </c>
      <c r="I70" s="29">
        <v>39.924045611124015</v>
      </c>
      <c r="J70" s="29">
        <v>0</v>
      </c>
      <c r="K70" s="29">
        <v>40.056802366769958</v>
      </c>
      <c r="L70" s="30">
        <v>0</v>
      </c>
      <c r="M70" s="30">
        <v>0</v>
      </c>
    </row>
    <row r="71" spans="2:13" x14ac:dyDescent="0.25">
      <c r="B71" s="27">
        <v>68</v>
      </c>
      <c r="C71" s="29">
        <v>57.160153816983573</v>
      </c>
      <c r="D71" s="29">
        <v>71.117412434357917</v>
      </c>
      <c r="E71" s="29">
        <v>95.739213655617945</v>
      </c>
      <c r="F71" s="29">
        <v>35.290075580716866</v>
      </c>
      <c r="G71" s="29">
        <v>0</v>
      </c>
      <c r="H71" s="29">
        <v>28.131521043709814</v>
      </c>
      <c r="I71" s="29">
        <v>31.868660979883209</v>
      </c>
      <c r="J71" s="29">
        <v>0</v>
      </c>
      <c r="K71" s="29">
        <v>52.06984558327116</v>
      </c>
      <c r="L71" s="30">
        <v>0</v>
      </c>
      <c r="M71" s="30">
        <v>0</v>
      </c>
    </row>
    <row r="72" spans="2:13" x14ac:dyDescent="0.25">
      <c r="B72" s="27">
        <v>69</v>
      </c>
      <c r="C72" s="29">
        <v>27.694438812667638</v>
      </c>
      <c r="D72" s="29">
        <v>0</v>
      </c>
      <c r="E72" s="29">
        <v>75.103383682418311</v>
      </c>
      <c r="F72" s="29">
        <v>25.087259356981029</v>
      </c>
      <c r="G72" s="29">
        <v>0</v>
      </c>
      <c r="H72" s="29">
        <v>0</v>
      </c>
      <c r="I72" s="29">
        <v>57.487265815552441</v>
      </c>
      <c r="J72" s="29">
        <v>0</v>
      </c>
      <c r="K72" s="29">
        <v>28.966336323667495</v>
      </c>
      <c r="L72" s="30">
        <v>0</v>
      </c>
      <c r="M72" s="30">
        <v>0</v>
      </c>
    </row>
    <row r="73" spans="2:13" x14ac:dyDescent="0.25">
      <c r="B73" s="27">
        <v>70</v>
      </c>
      <c r="C73" s="29">
        <v>55.123206107452887</v>
      </c>
      <c r="D73" s="29">
        <v>80.312104439196133</v>
      </c>
      <c r="E73" s="29">
        <v>0</v>
      </c>
      <c r="F73" s="29">
        <v>44.801980260191499</v>
      </c>
      <c r="G73" s="29">
        <v>0</v>
      </c>
      <c r="H73" s="29">
        <v>0</v>
      </c>
      <c r="I73" s="29">
        <v>0</v>
      </c>
      <c r="J73" s="29">
        <v>0</v>
      </c>
      <c r="K73" s="29">
        <v>38.913863445923695</v>
      </c>
      <c r="L73" s="30">
        <v>0</v>
      </c>
      <c r="M73" s="30">
        <v>0</v>
      </c>
    </row>
    <row r="74" spans="2:13" x14ac:dyDescent="0.25">
      <c r="B74" s="27">
        <v>71</v>
      </c>
      <c r="C74" s="29">
        <v>18.648018080610427</v>
      </c>
      <c r="D74" s="29">
        <v>77.335124956025993</v>
      </c>
      <c r="E74" s="29">
        <v>0</v>
      </c>
      <c r="F74" s="29">
        <v>49.851410888889248</v>
      </c>
      <c r="G74" s="29">
        <v>0</v>
      </c>
      <c r="H74" s="29">
        <v>0</v>
      </c>
      <c r="I74" s="29">
        <v>45.935183331797283</v>
      </c>
      <c r="J74" s="29">
        <v>37.258730117886621</v>
      </c>
      <c r="K74" s="29">
        <v>33.323664130281919</v>
      </c>
      <c r="L74" s="30">
        <v>0</v>
      </c>
      <c r="M74" s="30">
        <v>0</v>
      </c>
    </row>
    <row r="75" spans="2:13" x14ac:dyDescent="0.25">
      <c r="B75" s="27">
        <v>72</v>
      </c>
      <c r="C75" s="29">
        <v>63.669236188815951</v>
      </c>
      <c r="D75" s="29">
        <v>78.700257892187267</v>
      </c>
      <c r="E75" s="29">
        <v>110.8681720805115</v>
      </c>
      <c r="F75" s="29">
        <v>52.061026728051615</v>
      </c>
      <c r="G75" s="29">
        <v>0</v>
      </c>
      <c r="H75" s="29">
        <v>0</v>
      </c>
      <c r="I75" s="29">
        <v>0</v>
      </c>
      <c r="J75" s="29">
        <v>0</v>
      </c>
      <c r="K75" s="29">
        <v>35.386001593700591</v>
      </c>
      <c r="L75" s="30">
        <v>0</v>
      </c>
      <c r="M75" s="30">
        <v>0</v>
      </c>
    </row>
    <row r="76" spans="2:13" x14ac:dyDescent="0.25">
      <c r="B76" s="27">
        <v>73</v>
      </c>
      <c r="C76" s="29">
        <v>49.815528624375801</v>
      </c>
      <c r="D76" s="29">
        <v>0</v>
      </c>
      <c r="E76" s="29">
        <v>90.18769568458184</v>
      </c>
      <c r="F76" s="29">
        <v>66.822377095913168</v>
      </c>
      <c r="G76" s="29">
        <v>52.390069350704927</v>
      </c>
      <c r="H76" s="29">
        <v>0</v>
      </c>
      <c r="I76" s="29">
        <v>64.013068763322593</v>
      </c>
      <c r="J76" s="29">
        <v>51.038510394271469</v>
      </c>
      <c r="K76" s="29">
        <v>37.529186422088685</v>
      </c>
      <c r="L76" s="30">
        <v>0</v>
      </c>
      <c r="M76" s="30">
        <v>0</v>
      </c>
    </row>
    <row r="77" spans="2:13" x14ac:dyDescent="0.25">
      <c r="B77" s="27">
        <v>74</v>
      </c>
      <c r="C77" s="29">
        <v>40.075143695011498</v>
      </c>
      <c r="D77" s="29">
        <v>0</v>
      </c>
      <c r="E77" s="29">
        <v>81.92815421115796</v>
      </c>
      <c r="F77" s="29">
        <v>53.174089769172724</v>
      </c>
      <c r="G77" s="29">
        <v>0</v>
      </c>
      <c r="H77" s="29">
        <v>55.401296362806555</v>
      </c>
      <c r="I77" s="29">
        <v>0</v>
      </c>
      <c r="J77" s="29">
        <v>0</v>
      </c>
      <c r="K77" s="29">
        <v>35.019786390322025</v>
      </c>
      <c r="L77" s="30">
        <v>0</v>
      </c>
      <c r="M77" s="30">
        <v>0</v>
      </c>
    </row>
    <row r="78" spans="2:13" x14ac:dyDescent="0.25">
      <c r="B78" s="27">
        <v>75</v>
      </c>
      <c r="C78" s="29">
        <v>42.568961610192638</v>
      </c>
      <c r="D78" s="29">
        <v>70.401991916704915</v>
      </c>
      <c r="E78" s="29">
        <v>88.965332809213265</v>
      </c>
      <c r="F78" s="29">
        <v>62.022316290161839</v>
      </c>
      <c r="G78" s="29">
        <v>0</v>
      </c>
      <c r="H78" s="29">
        <v>49.733174164289338</v>
      </c>
      <c r="I78" s="29">
        <v>0</v>
      </c>
      <c r="J78" s="29">
        <v>40.576023652565844</v>
      </c>
      <c r="K78" s="29">
        <v>39.438934845129751</v>
      </c>
      <c r="L78" s="30">
        <v>0</v>
      </c>
      <c r="M78" s="30">
        <v>0</v>
      </c>
    </row>
    <row r="79" spans="2:13" x14ac:dyDescent="0.25">
      <c r="B79" s="27">
        <v>76</v>
      </c>
      <c r="C79" s="29">
        <v>26.067708179287916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24.976356528566257</v>
      </c>
      <c r="L79" s="30">
        <v>0</v>
      </c>
      <c r="M79" s="30">
        <v>0</v>
      </c>
    </row>
    <row r="80" spans="2:13" x14ac:dyDescent="0.25">
      <c r="B80" s="27">
        <v>77</v>
      </c>
      <c r="C80" s="29">
        <v>52.66036048912089</v>
      </c>
      <c r="D80" s="29">
        <v>0</v>
      </c>
      <c r="E80" s="29">
        <v>0</v>
      </c>
      <c r="F80" s="29">
        <v>30.151344597007228</v>
      </c>
      <c r="G80" s="29">
        <v>51.776105291483816</v>
      </c>
      <c r="H80" s="29">
        <v>0</v>
      </c>
      <c r="I80" s="29">
        <v>0</v>
      </c>
      <c r="J80" s="29">
        <v>0</v>
      </c>
      <c r="K80" s="29">
        <v>27.254141335833683</v>
      </c>
      <c r="L80" s="30">
        <v>0</v>
      </c>
      <c r="M80" s="30">
        <v>0</v>
      </c>
    </row>
    <row r="81" spans="2:13" x14ac:dyDescent="0.25">
      <c r="B81" s="27">
        <v>78</v>
      </c>
      <c r="C81" s="29">
        <v>0</v>
      </c>
      <c r="D81" s="29">
        <v>57.037787760665317</v>
      </c>
      <c r="E81" s="29">
        <v>0</v>
      </c>
      <c r="F81" s="29">
        <v>38.156056975887964</v>
      </c>
      <c r="G81" s="29">
        <v>0</v>
      </c>
      <c r="H81" s="29">
        <v>0</v>
      </c>
      <c r="I81" s="29">
        <v>0</v>
      </c>
      <c r="J81" s="29">
        <v>0</v>
      </c>
      <c r="K81" s="29">
        <v>45.819150767024219</v>
      </c>
      <c r="L81" s="30">
        <v>0</v>
      </c>
      <c r="M81" s="30">
        <v>0</v>
      </c>
    </row>
    <row r="82" spans="2:13" x14ac:dyDescent="0.25">
      <c r="B82" s="27">
        <v>79</v>
      </c>
      <c r="C82" s="29">
        <v>41.21102069107004</v>
      </c>
      <c r="D82" s="29">
        <v>61.603718872603551</v>
      </c>
      <c r="E82" s="29">
        <v>106.10425408660498</v>
      </c>
      <c r="F82" s="29">
        <v>0</v>
      </c>
      <c r="G82" s="29">
        <v>0</v>
      </c>
      <c r="H82" s="29">
        <v>0</v>
      </c>
      <c r="I82" s="29">
        <v>0</v>
      </c>
      <c r="J82" s="29">
        <v>41.806146852495417</v>
      </c>
      <c r="K82" s="29">
        <v>0</v>
      </c>
      <c r="L82" s="30">
        <v>0</v>
      </c>
      <c r="M82" s="30">
        <v>0</v>
      </c>
    </row>
    <row r="83" spans="2:13" x14ac:dyDescent="0.25">
      <c r="B83" s="27">
        <v>80</v>
      </c>
      <c r="C83" s="29">
        <v>50.58065420384461</v>
      </c>
      <c r="D83" s="29">
        <v>65.150853306140789</v>
      </c>
      <c r="E83" s="29">
        <v>76.119245551826253</v>
      </c>
      <c r="F83" s="29">
        <v>0</v>
      </c>
      <c r="G83" s="29">
        <v>0</v>
      </c>
      <c r="H83" s="29">
        <v>0</v>
      </c>
      <c r="I83" s="29">
        <v>42.147644600944794</v>
      </c>
      <c r="J83" s="29">
        <v>0</v>
      </c>
      <c r="K83" s="29">
        <v>53.898534378123045</v>
      </c>
      <c r="L83" s="30">
        <v>0</v>
      </c>
      <c r="M83" s="30">
        <v>0</v>
      </c>
    </row>
    <row r="84" spans="2:13" x14ac:dyDescent="0.25">
      <c r="B84" s="27">
        <v>81</v>
      </c>
      <c r="C84" s="29">
        <v>49.072916994661867</v>
      </c>
      <c r="D84" s="29">
        <v>72.015972967114834</v>
      </c>
      <c r="E84" s="29">
        <v>0</v>
      </c>
      <c r="F84" s="29">
        <v>43.501498155618251</v>
      </c>
      <c r="G84" s="29">
        <v>0</v>
      </c>
      <c r="H84" s="29">
        <v>59.774231208934694</v>
      </c>
      <c r="I84" s="29">
        <v>0</v>
      </c>
      <c r="J84" s="29">
        <v>0</v>
      </c>
      <c r="K84" s="29">
        <v>23.110990053607214</v>
      </c>
      <c r="L84" s="30">
        <v>0</v>
      </c>
      <c r="M84" s="30">
        <v>0</v>
      </c>
    </row>
    <row r="85" spans="2:13" x14ac:dyDescent="0.25">
      <c r="B85" s="27">
        <v>82</v>
      </c>
      <c r="C85" s="29">
        <v>55.271055321629262</v>
      </c>
      <c r="D85" s="29">
        <v>54.8458770209646</v>
      </c>
      <c r="E85" s="29">
        <v>105.95099389307131</v>
      </c>
      <c r="F85" s="29">
        <v>56.599844682971437</v>
      </c>
      <c r="G85" s="29">
        <v>21.087948424764647</v>
      </c>
      <c r="H85" s="29">
        <v>0</v>
      </c>
      <c r="I85" s="29">
        <v>0</v>
      </c>
      <c r="J85" s="29">
        <v>0</v>
      </c>
      <c r="K85" s="29">
        <v>53.123543578032439</v>
      </c>
      <c r="L85" s="30">
        <v>0</v>
      </c>
      <c r="M85" s="30">
        <v>0</v>
      </c>
    </row>
    <row r="86" spans="2:13" x14ac:dyDescent="0.25">
      <c r="B86" s="27">
        <v>83</v>
      </c>
      <c r="C86" s="29">
        <v>41.453457161024573</v>
      </c>
      <c r="D86" s="29">
        <v>53.14647489432496</v>
      </c>
      <c r="E86" s="29">
        <v>77.966183577909874</v>
      </c>
      <c r="F86" s="29">
        <v>40.688876909952555</v>
      </c>
      <c r="G86" s="29">
        <v>0</v>
      </c>
      <c r="H86" s="29">
        <v>65.154341862830449</v>
      </c>
      <c r="I86" s="29">
        <v>0</v>
      </c>
      <c r="J86" s="29">
        <v>0</v>
      </c>
      <c r="K86" s="29">
        <v>32.353425124703847</v>
      </c>
      <c r="L86" s="30">
        <v>0</v>
      </c>
      <c r="M86" s="30">
        <v>0</v>
      </c>
    </row>
    <row r="87" spans="2:13" x14ac:dyDescent="0.25">
      <c r="B87" s="27">
        <v>84</v>
      </c>
      <c r="C87" s="29">
        <v>46.258143762651116</v>
      </c>
      <c r="D87" s="29">
        <v>71.375250058703358</v>
      </c>
      <c r="E87" s="29">
        <v>0</v>
      </c>
      <c r="F87" s="29">
        <v>27.637365323936216</v>
      </c>
      <c r="G87" s="29">
        <v>46.56170018948945</v>
      </c>
      <c r="H87" s="29">
        <v>0</v>
      </c>
      <c r="I87" s="29">
        <v>0</v>
      </c>
      <c r="J87" s="29">
        <v>0</v>
      </c>
      <c r="K87" s="29">
        <v>33.129428492400876</v>
      </c>
      <c r="L87" s="30">
        <v>0</v>
      </c>
      <c r="M87" s="30">
        <v>0</v>
      </c>
    </row>
    <row r="88" spans="2:13" x14ac:dyDescent="0.25">
      <c r="B88" s="27">
        <v>85</v>
      </c>
      <c r="C88" s="29">
        <v>39.333680624668887</v>
      </c>
      <c r="D88" s="29">
        <v>65.001662891774259</v>
      </c>
      <c r="E88" s="29">
        <v>75.100704278503045</v>
      </c>
      <c r="F88" s="29">
        <v>0</v>
      </c>
      <c r="G88" s="29">
        <v>0</v>
      </c>
      <c r="H88" s="29">
        <v>40.108068749596754</v>
      </c>
      <c r="I88" s="29">
        <v>0</v>
      </c>
      <c r="J88" s="29">
        <v>0</v>
      </c>
      <c r="K88" s="29">
        <v>37.012903055224847</v>
      </c>
      <c r="L88" s="30">
        <v>0</v>
      </c>
      <c r="M88" s="30">
        <v>0</v>
      </c>
    </row>
    <row r="89" spans="2:13" x14ac:dyDescent="0.25">
      <c r="B89" s="27">
        <v>86</v>
      </c>
      <c r="C89" s="29">
        <v>64.760955883010965</v>
      </c>
      <c r="D89" s="29">
        <v>85.944426880815115</v>
      </c>
      <c r="E89" s="29">
        <v>139.15001561970621</v>
      </c>
      <c r="F89" s="29">
        <v>0</v>
      </c>
      <c r="G89" s="29">
        <v>0</v>
      </c>
      <c r="H89" s="29">
        <v>0</v>
      </c>
      <c r="I89" s="29">
        <v>0</v>
      </c>
      <c r="J89" s="29">
        <v>0</v>
      </c>
      <c r="K89" s="29">
        <v>50.179710568622134</v>
      </c>
      <c r="L89" s="30">
        <v>0</v>
      </c>
      <c r="M89" s="30">
        <v>0</v>
      </c>
    </row>
    <row r="90" spans="2:13" x14ac:dyDescent="0.25">
      <c r="B90" s="27">
        <v>87</v>
      </c>
      <c r="C90" s="29">
        <v>0</v>
      </c>
      <c r="D90" s="29">
        <v>73.368459263149873</v>
      </c>
      <c r="E90" s="29">
        <v>100.6613589447454</v>
      </c>
      <c r="F90" s="29">
        <v>32.070974332531804</v>
      </c>
      <c r="G90" s="29">
        <v>0</v>
      </c>
      <c r="H90" s="29">
        <v>0</v>
      </c>
      <c r="I90" s="29">
        <v>0</v>
      </c>
      <c r="J90" s="29">
        <v>45.931693422313543</v>
      </c>
      <c r="K90" s="29">
        <v>46.321806958906031</v>
      </c>
      <c r="L90" s="30">
        <v>0</v>
      </c>
      <c r="M90" s="30">
        <v>0</v>
      </c>
    </row>
    <row r="91" spans="2:13" x14ac:dyDescent="0.25">
      <c r="B91" s="27">
        <v>88</v>
      </c>
      <c r="C91" s="29">
        <v>35.597932801535279</v>
      </c>
      <c r="D91" s="29">
        <v>60.322618880099895</v>
      </c>
      <c r="E91" s="29">
        <v>62.270348236173163</v>
      </c>
      <c r="F91" s="29">
        <v>49.484397365339433</v>
      </c>
      <c r="G91" s="29">
        <v>0</v>
      </c>
      <c r="H91" s="29">
        <v>0</v>
      </c>
      <c r="I91" s="29">
        <v>0</v>
      </c>
      <c r="J91" s="29">
        <v>0</v>
      </c>
      <c r="K91" s="29">
        <v>29.365907783061051</v>
      </c>
      <c r="L91" s="30">
        <v>0</v>
      </c>
      <c r="M91" s="30">
        <v>0</v>
      </c>
    </row>
    <row r="92" spans="2:13" x14ac:dyDescent="0.25">
      <c r="B92" s="27">
        <v>89</v>
      </c>
      <c r="C92" s="29">
        <v>48.874331404297756</v>
      </c>
      <c r="D92" s="29">
        <v>78.781927394028543</v>
      </c>
      <c r="E92" s="29">
        <v>0</v>
      </c>
      <c r="F92" s="29">
        <v>34.508363610021746</v>
      </c>
      <c r="G92" s="29">
        <v>0</v>
      </c>
      <c r="H92" s="29">
        <v>0</v>
      </c>
      <c r="I92" s="29">
        <v>0</v>
      </c>
      <c r="J92" s="29">
        <v>0</v>
      </c>
      <c r="K92" s="29">
        <v>43.22292098960655</v>
      </c>
      <c r="L92" s="30">
        <v>0</v>
      </c>
      <c r="M92" s="30">
        <v>0</v>
      </c>
    </row>
    <row r="93" spans="2:13" x14ac:dyDescent="0.25">
      <c r="B93" s="27">
        <v>90</v>
      </c>
      <c r="C93" s="29">
        <v>37.917715003921188</v>
      </c>
      <c r="D93" s="29">
        <v>0</v>
      </c>
      <c r="E93" s="29">
        <v>0</v>
      </c>
      <c r="F93" s="29">
        <v>30.247083349884978</v>
      </c>
      <c r="G93" s="29">
        <v>0</v>
      </c>
      <c r="H93" s="29">
        <v>0</v>
      </c>
      <c r="I93" s="29">
        <v>25.016941978160556</v>
      </c>
      <c r="J93" s="29">
        <v>0</v>
      </c>
      <c r="K93" s="29">
        <v>38.340335354684889</v>
      </c>
      <c r="L93" s="30">
        <v>0</v>
      </c>
      <c r="M93" s="30">
        <v>0</v>
      </c>
    </row>
    <row r="94" spans="2:13" x14ac:dyDescent="0.25">
      <c r="B94" s="27">
        <v>91</v>
      </c>
      <c r="C94" s="29">
        <v>44.324321506884637</v>
      </c>
      <c r="D94" s="29">
        <v>55.653898332644779</v>
      </c>
      <c r="E94" s="29">
        <v>0</v>
      </c>
      <c r="F94" s="29">
        <v>47.212374942905008</v>
      </c>
      <c r="G94" s="29">
        <v>0</v>
      </c>
      <c r="H94" s="29">
        <v>0</v>
      </c>
      <c r="I94" s="29">
        <v>37.479313210278917</v>
      </c>
      <c r="J94" s="29">
        <v>0</v>
      </c>
      <c r="K94" s="29">
        <v>0</v>
      </c>
      <c r="L94" s="30">
        <v>0</v>
      </c>
      <c r="M94" s="30">
        <v>0</v>
      </c>
    </row>
    <row r="95" spans="2:13" x14ac:dyDescent="0.25">
      <c r="B95" s="27">
        <v>92</v>
      </c>
      <c r="C95" s="29">
        <v>42.492854181099773</v>
      </c>
      <c r="D95" s="29">
        <v>72.038760538239586</v>
      </c>
      <c r="E95" s="29">
        <v>73.477456123357953</v>
      </c>
      <c r="F95" s="29">
        <v>49.025619822910819</v>
      </c>
      <c r="G95" s="29">
        <v>0</v>
      </c>
      <c r="H95" s="29">
        <v>49.971850213531894</v>
      </c>
      <c r="I95" s="29">
        <v>0</v>
      </c>
      <c r="J95" s="29">
        <v>0</v>
      </c>
      <c r="K95" s="29">
        <v>0</v>
      </c>
      <c r="L95" s="30">
        <v>0</v>
      </c>
      <c r="M95" s="30">
        <v>0</v>
      </c>
    </row>
    <row r="96" spans="2:13" x14ac:dyDescent="0.25">
      <c r="B96" s="27">
        <v>93</v>
      </c>
      <c r="C96" s="29">
        <v>43.398843143154458</v>
      </c>
      <c r="D96" s="29">
        <v>75.460837993841693</v>
      </c>
      <c r="E96" s="29">
        <v>114.29825423557155</v>
      </c>
      <c r="F96" s="29">
        <v>44.964961987239917</v>
      </c>
      <c r="G96" s="29">
        <v>0</v>
      </c>
      <c r="H96" s="29">
        <v>0</v>
      </c>
      <c r="I96" s="29">
        <v>62.618495567133287</v>
      </c>
      <c r="J96" s="29">
        <v>0</v>
      </c>
      <c r="K96" s="29">
        <v>0</v>
      </c>
      <c r="L96" s="30">
        <v>0</v>
      </c>
      <c r="M96" s="30">
        <v>0</v>
      </c>
    </row>
    <row r="97" spans="2:13" x14ac:dyDescent="0.25">
      <c r="B97" s="27">
        <v>94</v>
      </c>
      <c r="C97" s="29">
        <v>47.151342093020908</v>
      </c>
      <c r="D97" s="29">
        <v>0</v>
      </c>
      <c r="E97" s="29">
        <v>86.268652571757713</v>
      </c>
      <c r="F97" s="29">
        <v>39.686684946125261</v>
      </c>
      <c r="G97" s="29">
        <v>0</v>
      </c>
      <c r="H97" s="29">
        <v>0</v>
      </c>
      <c r="I97" s="29">
        <v>33.324689879041486</v>
      </c>
      <c r="J97" s="29">
        <v>0</v>
      </c>
      <c r="K97" s="29">
        <v>41.094227880063002</v>
      </c>
      <c r="L97" s="30">
        <v>56.973880328303515</v>
      </c>
      <c r="M97" s="30">
        <v>0</v>
      </c>
    </row>
    <row r="98" spans="2:13" x14ac:dyDescent="0.25">
      <c r="B98" s="27">
        <v>95</v>
      </c>
      <c r="C98" s="29">
        <v>66.412089065683404</v>
      </c>
      <c r="D98" s="29">
        <v>73.035154973243991</v>
      </c>
      <c r="E98" s="29">
        <v>128.77263749885034</v>
      </c>
      <c r="F98" s="29">
        <v>39.952308977862451</v>
      </c>
      <c r="G98" s="29">
        <v>0</v>
      </c>
      <c r="H98" s="29">
        <v>43.046683773458675</v>
      </c>
      <c r="I98" s="29">
        <v>67.211465570361312</v>
      </c>
      <c r="J98" s="29">
        <v>0</v>
      </c>
      <c r="K98" s="29">
        <v>0</v>
      </c>
      <c r="L98" s="30">
        <v>39.402342164601123</v>
      </c>
      <c r="M98" s="30">
        <v>0</v>
      </c>
    </row>
    <row r="99" spans="2:13" x14ac:dyDescent="0.25">
      <c r="B99" s="27">
        <v>96</v>
      </c>
      <c r="C99" s="29">
        <v>45.925023474157918</v>
      </c>
      <c r="D99" s="29">
        <v>0</v>
      </c>
      <c r="E99" s="29">
        <v>0</v>
      </c>
      <c r="F99" s="29">
        <v>50.868389226106942</v>
      </c>
      <c r="G99" s="29">
        <v>0</v>
      </c>
      <c r="H99" s="29">
        <v>42.310085986072998</v>
      </c>
      <c r="I99" s="29">
        <v>43.010270410148614</v>
      </c>
      <c r="J99" s="29">
        <v>0</v>
      </c>
      <c r="K99" s="29">
        <v>19.913030959687703</v>
      </c>
      <c r="L99" s="30">
        <v>0</v>
      </c>
      <c r="M99" s="30">
        <v>0</v>
      </c>
    </row>
    <row r="100" spans="2:13" x14ac:dyDescent="0.25">
      <c r="B100" s="27">
        <v>97</v>
      </c>
      <c r="C100" s="29">
        <v>19.614112403733657</v>
      </c>
      <c r="D100" s="29">
        <v>92.237960629881542</v>
      </c>
      <c r="E100" s="29">
        <v>109.57078313419288</v>
      </c>
      <c r="F100" s="29">
        <v>44.520361535344634</v>
      </c>
      <c r="G100" s="29">
        <v>0</v>
      </c>
      <c r="H100" s="29">
        <v>0</v>
      </c>
      <c r="I100" s="29">
        <v>0</v>
      </c>
      <c r="J100" s="29">
        <v>0</v>
      </c>
      <c r="K100" s="29">
        <v>0</v>
      </c>
      <c r="L100" s="30">
        <v>0</v>
      </c>
      <c r="M100" s="30">
        <v>0</v>
      </c>
    </row>
    <row r="101" spans="2:13" x14ac:dyDescent="0.25">
      <c r="B101" s="27">
        <v>98</v>
      </c>
      <c r="C101" s="29">
        <v>50.783959966385353</v>
      </c>
      <c r="D101" s="29">
        <v>77.272948040958468</v>
      </c>
      <c r="E101" s="29">
        <v>0</v>
      </c>
      <c r="F101" s="29">
        <v>40.175380275976934</v>
      </c>
      <c r="G101" s="29">
        <v>0</v>
      </c>
      <c r="H101" s="29">
        <v>0</v>
      </c>
      <c r="I101" s="29">
        <v>0</v>
      </c>
      <c r="J101" s="29">
        <v>0</v>
      </c>
      <c r="K101" s="29">
        <v>35.104999130731969</v>
      </c>
      <c r="L101" s="30">
        <v>0</v>
      </c>
      <c r="M101" s="30">
        <v>0</v>
      </c>
    </row>
    <row r="102" spans="2:13" x14ac:dyDescent="0.25">
      <c r="B102" s="27">
        <v>99</v>
      </c>
      <c r="C102" s="29">
        <v>31.870996765398655</v>
      </c>
      <c r="D102" s="29">
        <v>86.957309272444959</v>
      </c>
      <c r="E102" s="29">
        <v>92.315728593022328</v>
      </c>
      <c r="F102" s="29">
        <v>16.566453876637446</v>
      </c>
      <c r="G102" s="29">
        <v>0</v>
      </c>
      <c r="H102" s="29">
        <v>0</v>
      </c>
      <c r="I102" s="29">
        <v>0</v>
      </c>
      <c r="J102" s="29">
        <v>0</v>
      </c>
      <c r="K102" s="29">
        <v>0</v>
      </c>
      <c r="L102" s="30">
        <v>66.359735448073664</v>
      </c>
      <c r="M102" s="30">
        <v>0</v>
      </c>
    </row>
    <row r="103" spans="2:13" x14ac:dyDescent="0.25">
      <c r="B103" s="27">
        <v>100</v>
      </c>
      <c r="C103" s="29">
        <v>44.447383921200398</v>
      </c>
      <c r="D103" s="29">
        <v>82.521765820374725</v>
      </c>
      <c r="E103" s="29">
        <v>90.816534330355893</v>
      </c>
      <c r="F103" s="29">
        <v>49.015670182838114</v>
      </c>
      <c r="G103" s="29">
        <v>0</v>
      </c>
      <c r="H103" s="29">
        <v>0</v>
      </c>
      <c r="I103" s="29">
        <v>0</v>
      </c>
      <c r="J103" s="29">
        <v>0</v>
      </c>
      <c r="K103" s="29">
        <v>44.921978688056413</v>
      </c>
      <c r="L103" s="30">
        <v>0</v>
      </c>
      <c r="M103" s="30">
        <v>0</v>
      </c>
    </row>
    <row r="104" spans="2:13" x14ac:dyDescent="0.25">
      <c r="B104" s="27">
        <v>101</v>
      </c>
      <c r="C104" s="29">
        <v>57.548532295842222</v>
      </c>
      <c r="D104" s="29">
        <v>73.408454360906205</v>
      </c>
      <c r="E104" s="29">
        <v>86.513306613797823</v>
      </c>
      <c r="F104" s="29">
        <v>0</v>
      </c>
      <c r="G104" s="29">
        <v>0</v>
      </c>
      <c r="H104" s="29">
        <v>0</v>
      </c>
      <c r="I104" s="29">
        <v>27.269210463346237</v>
      </c>
      <c r="J104" s="29">
        <v>0</v>
      </c>
      <c r="K104" s="29">
        <v>0</v>
      </c>
      <c r="L104" s="30">
        <v>0</v>
      </c>
      <c r="M104" s="30">
        <v>0</v>
      </c>
    </row>
    <row r="105" spans="2:13" x14ac:dyDescent="0.25">
      <c r="B105" s="27">
        <v>102</v>
      </c>
      <c r="C105" s="29">
        <v>38.475014931770289</v>
      </c>
      <c r="D105" s="29">
        <v>0</v>
      </c>
      <c r="E105" s="29">
        <v>87.260495928677386</v>
      </c>
      <c r="F105" s="29">
        <v>41.526246458253077</v>
      </c>
      <c r="G105" s="29">
        <v>0</v>
      </c>
      <c r="H105" s="29">
        <v>0</v>
      </c>
      <c r="I105" s="29">
        <v>60.471784313223814</v>
      </c>
      <c r="J105" s="29">
        <v>0</v>
      </c>
      <c r="K105" s="29">
        <v>20.103076749546709</v>
      </c>
      <c r="L105" s="30">
        <v>0</v>
      </c>
      <c r="M105" s="30">
        <v>0</v>
      </c>
    </row>
    <row r="106" spans="2:13" x14ac:dyDescent="0.25">
      <c r="B106" s="27">
        <v>103</v>
      </c>
      <c r="C106" s="29">
        <v>56.545183817008812</v>
      </c>
      <c r="D106" s="29">
        <v>55.948066788040393</v>
      </c>
      <c r="E106" s="29">
        <v>79.055596259169505</v>
      </c>
      <c r="F106" s="29">
        <v>50.014833923711691</v>
      </c>
      <c r="G106" s="29">
        <v>0</v>
      </c>
      <c r="H106" s="29">
        <v>60.456591052913609</v>
      </c>
      <c r="I106" s="29">
        <v>0</v>
      </c>
      <c r="J106" s="29">
        <v>0</v>
      </c>
      <c r="K106" s="29">
        <v>39.417240340860396</v>
      </c>
      <c r="L106" s="30">
        <v>0</v>
      </c>
      <c r="M106" s="30">
        <v>0</v>
      </c>
    </row>
    <row r="107" spans="2:13" x14ac:dyDescent="0.25">
      <c r="B107" s="27">
        <v>104</v>
      </c>
      <c r="C107" s="29">
        <v>0</v>
      </c>
      <c r="D107" s="29">
        <v>59.864040373806226</v>
      </c>
      <c r="E107" s="29">
        <v>83.779903529352524</v>
      </c>
      <c r="F107" s="29">
        <v>48.265789702054093</v>
      </c>
      <c r="G107" s="29">
        <v>0</v>
      </c>
      <c r="H107" s="29">
        <v>0</v>
      </c>
      <c r="I107" s="29">
        <v>0</v>
      </c>
      <c r="J107" s="29">
        <v>0</v>
      </c>
      <c r="K107" s="29">
        <v>61.006922658362384</v>
      </c>
      <c r="L107" s="30">
        <v>0</v>
      </c>
      <c r="M107" s="30">
        <v>0</v>
      </c>
    </row>
    <row r="108" spans="2:13" x14ac:dyDescent="0.25">
      <c r="B108" s="27">
        <v>105</v>
      </c>
      <c r="C108" s="29">
        <v>45.835268560691958</v>
      </c>
      <c r="D108" s="29">
        <v>74.207383177945104</v>
      </c>
      <c r="E108" s="29">
        <v>136.05988043139075</v>
      </c>
      <c r="F108" s="29">
        <v>0</v>
      </c>
      <c r="G108" s="29">
        <v>53.508677465419709</v>
      </c>
      <c r="H108" s="29">
        <v>0</v>
      </c>
      <c r="I108" s="29">
        <v>0</v>
      </c>
      <c r="J108" s="29">
        <v>37.753918642144995</v>
      </c>
      <c r="K108" s="29">
        <v>44.042023761897212</v>
      </c>
      <c r="L108" s="30">
        <v>0</v>
      </c>
      <c r="M108" s="30">
        <v>0</v>
      </c>
    </row>
    <row r="109" spans="2:13" x14ac:dyDescent="0.25">
      <c r="B109" s="27">
        <v>106</v>
      </c>
      <c r="C109" s="29">
        <v>50.529574655706931</v>
      </c>
      <c r="D109" s="29">
        <v>74.212104411072218</v>
      </c>
      <c r="E109" s="29">
        <v>78.330212271935665</v>
      </c>
      <c r="F109" s="29">
        <v>46.282773181950724</v>
      </c>
      <c r="G109" s="29">
        <v>0</v>
      </c>
      <c r="H109" s="29">
        <v>47.675886481680188</v>
      </c>
      <c r="I109" s="29">
        <v>56.747707267711554</v>
      </c>
      <c r="J109" s="29">
        <v>0</v>
      </c>
      <c r="K109" s="29">
        <v>33.614869188164754</v>
      </c>
      <c r="L109" s="30">
        <v>0</v>
      </c>
      <c r="M109" s="30">
        <v>0</v>
      </c>
    </row>
    <row r="110" spans="2:13" x14ac:dyDescent="0.25">
      <c r="B110" s="27">
        <v>107</v>
      </c>
      <c r="C110" s="29">
        <v>30.796363621512459</v>
      </c>
      <c r="D110" s="29">
        <v>65.539600311426298</v>
      </c>
      <c r="E110" s="29">
        <v>121.11432116476529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30.481056543489682</v>
      </c>
      <c r="L110" s="30">
        <v>0</v>
      </c>
      <c r="M110" s="30">
        <v>0</v>
      </c>
    </row>
    <row r="111" spans="2:13" x14ac:dyDescent="0.25">
      <c r="B111" s="27">
        <v>108</v>
      </c>
      <c r="C111" s="29">
        <v>40.350026104379381</v>
      </c>
      <c r="D111" s="29">
        <v>80.816234770108707</v>
      </c>
      <c r="E111" s="29">
        <v>98.295216042848054</v>
      </c>
      <c r="F111" s="29">
        <v>53.761161959656697</v>
      </c>
      <c r="G111" s="29">
        <v>0</v>
      </c>
      <c r="H111" s="29">
        <v>0</v>
      </c>
      <c r="I111" s="29">
        <v>51.914068291472702</v>
      </c>
      <c r="J111" s="29">
        <v>0</v>
      </c>
      <c r="K111" s="29">
        <v>56.132119223094875</v>
      </c>
      <c r="L111" s="30">
        <v>0</v>
      </c>
      <c r="M111" s="30">
        <v>0</v>
      </c>
    </row>
    <row r="112" spans="2:13" x14ac:dyDescent="0.25">
      <c r="B112" s="27">
        <v>109</v>
      </c>
      <c r="C112" s="29">
        <v>42.032178887311595</v>
      </c>
      <c r="D112" s="29">
        <v>81.241678267891203</v>
      </c>
      <c r="E112" s="29">
        <v>98.3653178812351</v>
      </c>
      <c r="F112" s="29">
        <v>46.371828556236174</v>
      </c>
      <c r="G112" s="29">
        <v>0</v>
      </c>
      <c r="H112" s="29">
        <v>0</v>
      </c>
      <c r="I112" s="29">
        <v>0</v>
      </c>
      <c r="J112" s="29">
        <v>0</v>
      </c>
      <c r="K112" s="29">
        <v>0</v>
      </c>
      <c r="L112" s="30">
        <v>0</v>
      </c>
      <c r="M112" s="30">
        <v>0</v>
      </c>
    </row>
    <row r="113" spans="2:13" x14ac:dyDescent="0.25">
      <c r="B113" s="27">
        <v>110</v>
      </c>
      <c r="C113" s="29">
        <v>42.644253943748083</v>
      </c>
      <c r="D113" s="29">
        <v>84.433372620696971</v>
      </c>
      <c r="E113" s="29">
        <v>80.307018864814353</v>
      </c>
      <c r="F113" s="29">
        <v>0</v>
      </c>
      <c r="G113" s="29">
        <v>0</v>
      </c>
      <c r="H113" s="29">
        <v>0</v>
      </c>
      <c r="I113" s="29">
        <v>0</v>
      </c>
      <c r="J113" s="29">
        <v>0</v>
      </c>
      <c r="K113" s="29">
        <v>64.817986289917471</v>
      </c>
      <c r="L113" s="30">
        <v>0</v>
      </c>
      <c r="M113" s="30">
        <v>0</v>
      </c>
    </row>
    <row r="114" spans="2:13" x14ac:dyDescent="0.25">
      <c r="B114" s="27">
        <v>111</v>
      </c>
      <c r="C114" s="29">
        <v>46.854225739135202</v>
      </c>
      <c r="D114" s="29">
        <v>63.073706153521499</v>
      </c>
      <c r="E114" s="29">
        <v>0</v>
      </c>
      <c r="F114" s="29">
        <v>58.438146165958997</v>
      </c>
      <c r="G114" s="29">
        <v>0</v>
      </c>
      <c r="H114" s="29">
        <v>0</v>
      </c>
      <c r="I114" s="29">
        <v>40.687577517000022</v>
      </c>
      <c r="J114" s="29">
        <v>46.327832113898538</v>
      </c>
      <c r="K114" s="29">
        <v>58.647633397399638</v>
      </c>
      <c r="L114" s="30">
        <v>0</v>
      </c>
      <c r="M114" s="30">
        <v>0</v>
      </c>
    </row>
    <row r="115" spans="2:13" x14ac:dyDescent="0.25">
      <c r="B115" s="27">
        <v>112</v>
      </c>
      <c r="C115" s="29">
        <v>38.085282630381776</v>
      </c>
      <c r="D115" s="29">
        <v>88.158224520123227</v>
      </c>
      <c r="E115" s="29">
        <v>130.19959210748965</v>
      </c>
      <c r="F115" s="29">
        <v>0</v>
      </c>
      <c r="G115" s="29">
        <v>54.414378009805446</v>
      </c>
      <c r="H115" s="29">
        <v>0</v>
      </c>
      <c r="I115" s="29">
        <v>0</v>
      </c>
      <c r="J115" s="29">
        <v>0</v>
      </c>
      <c r="K115" s="29">
        <v>38.269018645466247</v>
      </c>
      <c r="L115" s="30">
        <v>0</v>
      </c>
      <c r="M115" s="30">
        <v>0</v>
      </c>
    </row>
    <row r="116" spans="2:13" x14ac:dyDescent="0.25">
      <c r="B116" s="27">
        <v>113</v>
      </c>
      <c r="C116" s="29">
        <v>47.244545055901725</v>
      </c>
      <c r="D116" s="29">
        <v>75.589894764744002</v>
      </c>
      <c r="E116" s="29">
        <v>87.476741698827823</v>
      </c>
      <c r="F116" s="29">
        <v>27.405436001089878</v>
      </c>
      <c r="G116" s="29">
        <v>0</v>
      </c>
      <c r="H116" s="29">
        <v>0</v>
      </c>
      <c r="I116" s="29">
        <v>21.428519559274442</v>
      </c>
      <c r="J116" s="29">
        <v>36.186045172359869</v>
      </c>
      <c r="K116" s="29">
        <v>0</v>
      </c>
      <c r="L116" s="30">
        <v>0</v>
      </c>
      <c r="M116" s="30">
        <v>0</v>
      </c>
    </row>
    <row r="117" spans="2:13" x14ac:dyDescent="0.25">
      <c r="B117" s="27">
        <v>114</v>
      </c>
      <c r="C117" s="29">
        <v>38.170500702562087</v>
      </c>
      <c r="D117" s="29">
        <v>0</v>
      </c>
      <c r="E117" s="29">
        <v>0</v>
      </c>
      <c r="F117" s="29">
        <v>52.579271482234802</v>
      </c>
      <c r="G117" s="29">
        <v>0</v>
      </c>
      <c r="H117" s="29">
        <v>47.285245508802191</v>
      </c>
      <c r="I117" s="29">
        <v>41.712339596490992</v>
      </c>
      <c r="J117" s="29">
        <v>0</v>
      </c>
      <c r="K117" s="29">
        <v>50.220635257830324</v>
      </c>
      <c r="L117" s="30">
        <v>0</v>
      </c>
      <c r="M117" s="30">
        <v>0</v>
      </c>
    </row>
    <row r="118" spans="2:13" x14ac:dyDescent="0.25">
      <c r="B118" s="27">
        <v>115</v>
      </c>
      <c r="C118" s="29">
        <v>0</v>
      </c>
      <c r="D118" s="29">
        <v>78.261166785623246</v>
      </c>
      <c r="E118" s="29">
        <v>100.62020331442616</v>
      </c>
      <c r="F118" s="29">
        <v>47.642184803723232</v>
      </c>
      <c r="G118" s="29">
        <v>0</v>
      </c>
      <c r="H118" s="29">
        <v>0</v>
      </c>
      <c r="I118" s="29">
        <v>0</v>
      </c>
      <c r="J118" s="29">
        <v>0</v>
      </c>
      <c r="K118" s="29">
        <v>41.479952182895431</v>
      </c>
      <c r="L118" s="30">
        <v>0</v>
      </c>
      <c r="M118" s="30">
        <v>0</v>
      </c>
    </row>
    <row r="119" spans="2:13" x14ac:dyDescent="0.25">
      <c r="B119" s="27">
        <v>116</v>
      </c>
      <c r="C119" s="29">
        <v>57.833660673628174</v>
      </c>
      <c r="D119" s="29">
        <v>70.355079030542456</v>
      </c>
      <c r="E119" s="29">
        <v>80.661465888363693</v>
      </c>
      <c r="F119" s="29">
        <v>55.380353063393159</v>
      </c>
      <c r="G119" s="29">
        <v>0</v>
      </c>
      <c r="H119" s="29">
        <v>0</v>
      </c>
      <c r="I119" s="29">
        <v>0</v>
      </c>
      <c r="J119" s="29">
        <v>0</v>
      </c>
      <c r="K119" s="29">
        <v>37.328772846577849</v>
      </c>
      <c r="L119" s="30">
        <v>0</v>
      </c>
      <c r="M119" s="30">
        <v>0</v>
      </c>
    </row>
    <row r="120" spans="2:13" x14ac:dyDescent="0.25">
      <c r="B120" s="27">
        <v>117</v>
      </c>
      <c r="C120" s="29">
        <v>60.915067349588959</v>
      </c>
      <c r="D120" s="29">
        <v>74.515217290392911</v>
      </c>
      <c r="E120" s="29">
        <v>114.13210480987863</v>
      </c>
      <c r="F120" s="29">
        <v>0</v>
      </c>
      <c r="G120" s="29">
        <v>0</v>
      </c>
      <c r="H120" s="29">
        <v>61.807448950257879</v>
      </c>
      <c r="I120" s="29">
        <v>0</v>
      </c>
      <c r="J120" s="29">
        <v>0</v>
      </c>
      <c r="K120" s="29">
        <v>56.142839618512511</v>
      </c>
      <c r="L120" s="30">
        <v>0</v>
      </c>
      <c r="M120" s="30">
        <v>0</v>
      </c>
    </row>
    <row r="121" spans="2:13" x14ac:dyDescent="0.25">
      <c r="B121" s="27">
        <v>118</v>
      </c>
      <c r="C121" s="29">
        <v>46.080093355325928</v>
      </c>
      <c r="D121" s="29">
        <v>62.455249392766497</v>
      </c>
      <c r="E121" s="29">
        <v>112.80090742603176</v>
      </c>
      <c r="F121" s="29">
        <v>0</v>
      </c>
      <c r="G121" s="29">
        <v>0</v>
      </c>
      <c r="H121" s="29">
        <v>0</v>
      </c>
      <c r="I121" s="29">
        <v>0</v>
      </c>
      <c r="J121" s="29">
        <v>54.214635743680326</v>
      </c>
      <c r="K121" s="29">
        <v>32.994211927301265</v>
      </c>
      <c r="L121" s="30">
        <v>0</v>
      </c>
      <c r="M121" s="30">
        <v>0</v>
      </c>
    </row>
    <row r="122" spans="2:13" x14ac:dyDescent="0.25">
      <c r="B122" s="27">
        <v>119</v>
      </c>
      <c r="C122" s="29">
        <v>37.720265066333255</v>
      </c>
      <c r="D122" s="29">
        <v>69.962781683979784</v>
      </c>
      <c r="E122" s="29">
        <v>85.775632508739619</v>
      </c>
      <c r="F122" s="29">
        <v>44.762381214856397</v>
      </c>
      <c r="G122" s="29">
        <v>0</v>
      </c>
      <c r="H122" s="29">
        <v>0</v>
      </c>
      <c r="I122" s="29">
        <v>0</v>
      </c>
      <c r="J122" s="29">
        <v>46.165885692756746</v>
      </c>
      <c r="K122" s="29">
        <v>49.614585276371976</v>
      </c>
      <c r="L122" s="30">
        <v>0</v>
      </c>
      <c r="M122" s="30">
        <v>0</v>
      </c>
    </row>
    <row r="123" spans="2:13" x14ac:dyDescent="0.25">
      <c r="B123" s="27">
        <v>120</v>
      </c>
      <c r="C123" s="29">
        <v>62.180785922554819</v>
      </c>
      <c r="D123" s="29">
        <v>61.777498025949463</v>
      </c>
      <c r="E123" s="29">
        <v>102.72808553297769</v>
      </c>
      <c r="F123" s="29">
        <v>61.929022677178544</v>
      </c>
      <c r="G123" s="29">
        <v>0</v>
      </c>
      <c r="H123" s="29">
        <v>0</v>
      </c>
      <c r="I123" s="29">
        <v>0</v>
      </c>
      <c r="J123" s="29">
        <v>0</v>
      </c>
      <c r="K123" s="29">
        <v>46.214500888415699</v>
      </c>
      <c r="L123" s="30">
        <v>0</v>
      </c>
      <c r="M123" s="30">
        <v>0</v>
      </c>
    </row>
    <row r="124" spans="2:13" x14ac:dyDescent="0.25">
      <c r="B124" s="27">
        <v>121</v>
      </c>
      <c r="C124" s="29">
        <v>64.696046825794184</v>
      </c>
      <c r="D124" s="29">
        <v>68.137742847720887</v>
      </c>
      <c r="E124" s="29">
        <v>117.77418178645857</v>
      </c>
      <c r="F124" s="29">
        <v>48.107255077066448</v>
      </c>
      <c r="G124" s="29">
        <v>0</v>
      </c>
      <c r="H124" s="29">
        <v>0</v>
      </c>
      <c r="I124" s="29">
        <v>37.209169282076274</v>
      </c>
      <c r="J124" s="29">
        <v>0</v>
      </c>
      <c r="K124" s="29">
        <v>62.54063207550287</v>
      </c>
      <c r="L124" s="30">
        <v>0</v>
      </c>
      <c r="M124" s="30">
        <v>0</v>
      </c>
    </row>
    <row r="125" spans="2:13" x14ac:dyDescent="0.25">
      <c r="B125" s="27">
        <v>122</v>
      </c>
      <c r="C125" s="29">
        <v>29.457526158872483</v>
      </c>
      <c r="D125" s="29">
        <v>54.670421837714464</v>
      </c>
      <c r="E125" s="29">
        <v>71.192917605761409</v>
      </c>
      <c r="F125" s="29">
        <v>49.416311185912313</v>
      </c>
      <c r="G125" s="29">
        <v>0</v>
      </c>
      <c r="H125" s="29">
        <v>0</v>
      </c>
      <c r="I125" s="29">
        <v>51.066669077362079</v>
      </c>
      <c r="J125" s="29">
        <v>0</v>
      </c>
      <c r="K125" s="29">
        <v>45.172804670227713</v>
      </c>
      <c r="L125" s="30">
        <v>0</v>
      </c>
      <c r="M125" s="30">
        <v>0</v>
      </c>
    </row>
    <row r="126" spans="2:13" x14ac:dyDescent="0.25">
      <c r="B126" s="27">
        <v>123</v>
      </c>
      <c r="C126" s="29">
        <v>63.572933380607793</v>
      </c>
      <c r="D126" s="29">
        <v>76.844348563107189</v>
      </c>
      <c r="E126" s="29">
        <v>94.064265542919429</v>
      </c>
      <c r="F126" s="29">
        <v>28.790057684753322</v>
      </c>
      <c r="G126" s="29">
        <v>0</v>
      </c>
      <c r="H126" s="29">
        <v>0</v>
      </c>
      <c r="I126" s="29">
        <v>0</v>
      </c>
      <c r="J126" s="29">
        <v>40.689852770489317</v>
      </c>
      <c r="K126" s="29">
        <v>53.066221658284562</v>
      </c>
      <c r="L126" s="30">
        <v>0</v>
      </c>
      <c r="M126" s="30">
        <v>0</v>
      </c>
    </row>
    <row r="127" spans="2:13" x14ac:dyDescent="0.25">
      <c r="B127" s="27">
        <v>124</v>
      </c>
      <c r="C127" s="29">
        <v>33.477537641005114</v>
      </c>
      <c r="D127" s="29">
        <v>68.29927994060651</v>
      </c>
      <c r="E127" s="29">
        <v>83.175494069314979</v>
      </c>
      <c r="F127" s="29">
        <v>55.783066590483649</v>
      </c>
      <c r="G127" s="29">
        <v>48.192587889911231</v>
      </c>
      <c r="H127" s="29">
        <v>54.858958842564064</v>
      </c>
      <c r="I127" s="29">
        <v>0</v>
      </c>
      <c r="J127" s="29">
        <v>0</v>
      </c>
      <c r="K127" s="29">
        <v>58.804018057171582</v>
      </c>
      <c r="L127" s="30">
        <v>0</v>
      </c>
      <c r="M127" s="30">
        <v>0</v>
      </c>
    </row>
    <row r="128" spans="2:13" x14ac:dyDescent="0.25">
      <c r="B128" s="27">
        <v>125</v>
      </c>
      <c r="C128" s="29">
        <v>44.414710505207751</v>
      </c>
      <c r="D128" s="29">
        <v>0</v>
      </c>
      <c r="E128" s="29">
        <v>0</v>
      </c>
      <c r="F128" s="29">
        <v>40.840826403555113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30">
        <v>0</v>
      </c>
      <c r="M128" s="30">
        <v>0</v>
      </c>
    </row>
    <row r="129" spans="2:13" x14ac:dyDescent="0.25">
      <c r="B129" s="27">
        <v>126</v>
      </c>
      <c r="C129" s="29">
        <v>33.287617794863365</v>
      </c>
      <c r="D129" s="29">
        <v>72.862593603053654</v>
      </c>
      <c r="E129" s="29">
        <v>96.635864404822428</v>
      </c>
      <c r="F129" s="29">
        <v>21.249460791179242</v>
      </c>
      <c r="G129" s="29">
        <v>0</v>
      </c>
      <c r="H129" s="29">
        <v>53.861914068663992</v>
      </c>
      <c r="I129" s="29">
        <v>0</v>
      </c>
      <c r="J129" s="29">
        <v>13.272205473348468</v>
      </c>
      <c r="K129" s="29">
        <v>43.040419075694679</v>
      </c>
      <c r="L129" s="30">
        <v>0</v>
      </c>
      <c r="M129" s="30">
        <v>0</v>
      </c>
    </row>
    <row r="130" spans="2:13" x14ac:dyDescent="0.25">
      <c r="B130" s="27">
        <v>127</v>
      </c>
      <c r="C130" s="29">
        <v>39.741165216246202</v>
      </c>
      <c r="D130" s="29">
        <v>65.981087323036121</v>
      </c>
      <c r="E130" s="29">
        <v>84.857742016454722</v>
      </c>
      <c r="F130" s="29">
        <v>57.590596219409171</v>
      </c>
      <c r="G130" s="29">
        <v>46.229843186382503</v>
      </c>
      <c r="H130" s="29">
        <v>0</v>
      </c>
      <c r="I130" s="29">
        <v>47.084395761403819</v>
      </c>
      <c r="J130" s="29">
        <v>0</v>
      </c>
      <c r="K130" s="29">
        <v>18.41482277582621</v>
      </c>
      <c r="L130" s="30">
        <v>0</v>
      </c>
      <c r="M130" s="30">
        <v>0</v>
      </c>
    </row>
    <row r="131" spans="2:13" x14ac:dyDescent="0.25">
      <c r="B131" s="27">
        <v>128</v>
      </c>
      <c r="C131" s="29">
        <v>59.54000919730651</v>
      </c>
      <c r="D131" s="29">
        <v>64.104017335584601</v>
      </c>
      <c r="E131" s="29">
        <v>71.841057467105344</v>
      </c>
      <c r="F131" s="29">
        <v>46.709747825007149</v>
      </c>
      <c r="G131" s="29">
        <v>0</v>
      </c>
      <c r="H131" s="29">
        <v>0</v>
      </c>
      <c r="I131" s="29">
        <v>45.375449577835951</v>
      </c>
      <c r="J131" s="29">
        <v>0</v>
      </c>
      <c r="K131" s="29">
        <v>63.213689870139447</v>
      </c>
      <c r="L131" s="30">
        <v>0</v>
      </c>
      <c r="M131" s="30">
        <v>0</v>
      </c>
    </row>
    <row r="132" spans="2:13" x14ac:dyDescent="0.25">
      <c r="B132" s="27">
        <v>129</v>
      </c>
      <c r="C132" s="29">
        <v>65.029252984408004</v>
      </c>
      <c r="D132" s="29">
        <v>87.72459916680674</v>
      </c>
      <c r="E132" s="29">
        <v>0</v>
      </c>
      <c r="F132" s="29">
        <v>31.026495600655835</v>
      </c>
      <c r="G132" s="29">
        <v>0</v>
      </c>
      <c r="H132" s="29">
        <v>0</v>
      </c>
      <c r="I132" s="29">
        <v>0</v>
      </c>
      <c r="J132" s="29">
        <v>63.473290838294886</v>
      </c>
      <c r="K132" s="29">
        <v>43.541341998198192</v>
      </c>
      <c r="L132" s="30">
        <v>0</v>
      </c>
      <c r="M132" s="30">
        <v>0</v>
      </c>
    </row>
    <row r="133" spans="2:13" x14ac:dyDescent="0.25">
      <c r="B133" s="27">
        <v>130</v>
      </c>
      <c r="C133" s="29">
        <v>64.48618690571567</v>
      </c>
      <c r="D133" s="29">
        <v>56.240582095971988</v>
      </c>
      <c r="E133" s="29">
        <v>77.267877744064208</v>
      </c>
      <c r="F133" s="29">
        <v>47.727067060443815</v>
      </c>
      <c r="G133" s="29">
        <v>0</v>
      </c>
      <c r="H133" s="29">
        <v>0</v>
      </c>
      <c r="I133" s="29">
        <v>0</v>
      </c>
      <c r="J133" s="29">
        <v>0</v>
      </c>
      <c r="K133" s="29">
        <v>53.456955754610092</v>
      </c>
      <c r="L133" s="30">
        <v>0</v>
      </c>
      <c r="M133" s="30">
        <v>0</v>
      </c>
    </row>
    <row r="134" spans="2:13" x14ac:dyDescent="0.25">
      <c r="B134" s="27">
        <v>131</v>
      </c>
      <c r="C134" s="29">
        <v>65.783552790681213</v>
      </c>
      <c r="D134" s="29">
        <v>0</v>
      </c>
      <c r="E134" s="29">
        <v>78.499907412639715</v>
      </c>
      <c r="F134" s="29">
        <v>44.933074925060346</v>
      </c>
      <c r="G134" s="29">
        <v>0</v>
      </c>
      <c r="H134" s="29">
        <v>0</v>
      </c>
      <c r="I134" s="29">
        <v>45.723282896102795</v>
      </c>
      <c r="J134" s="29">
        <v>30.482217693506101</v>
      </c>
      <c r="K134" s="29">
        <v>39.318116305111808</v>
      </c>
      <c r="L134" s="30">
        <v>0</v>
      </c>
      <c r="M134" s="30">
        <v>0</v>
      </c>
    </row>
    <row r="135" spans="2:13" x14ac:dyDescent="0.25">
      <c r="B135" s="27">
        <v>132</v>
      </c>
      <c r="C135" s="29">
        <v>60.447633220308902</v>
      </c>
      <c r="D135" s="29">
        <v>78.567217408661691</v>
      </c>
      <c r="E135" s="29">
        <v>106.84714000413132</v>
      </c>
      <c r="F135" s="29">
        <v>36.809001543472249</v>
      </c>
      <c r="G135" s="29">
        <v>0</v>
      </c>
      <c r="H135" s="29">
        <v>47.489151578842737</v>
      </c>
      <c r="I135" s="29">
        <v>0</v>
      </c>
      <c r="J135" s="29">
        <v>0</v>
      </c>
      <c r="K135" s="29">
        <v>53.400249214356833</v>
      </c>
      <c r="L135" s="30">
        <v>0</v>
      </c>
      <c r="M135" s="30">
        <v>0</v>
      </c>
    </row>
    <row r="136" spans="2:13" x14ac:dyDescent="0.25">
      <c r="B136" s="27">
        <v>133</v>
      </c>
      <c r="C136" s="29">
        <v>60.427367202358504</v>
      </c>
      <c r="D136" s="29">
        <v>72.519645467435254</v>
      </c>
      <c r="E136" s="29">
        <v>0</v>
      </c>
      <c r="F136" s="29">
        <v>30.242277235476603</v>
      </c>
      <c r="G136" s="29">
        <v>0</v>
      </c>
      <c r="H136" s="29">
        <v>46.5488621613151</v>
      </c>
      <c r="I136" s="29">
        <v>37.025247520768659</v>
      </c>
      <c r="J136" s="29">
        <v>0</v>
      </c>
      <c r="K136" s="29">
        <v>0</v>
      </c>
      <c r="L136" s="30">
        <v>0</v>
      </c>
      <c r="M136" s="30">
        <v>0</v>
      </c>
    </row>
    <row r="137" spans="2:13" x14ac:dyDescent="0.25">
      <c r="B137" s="27">
        <v>134</v>
      </c>
      <c r="C137" s="29">
        <v>0</v>
      </c>
      <c r="D137" s="29">
        <v>83.023548286686363</v>
      </c>
      <c r="E137" s="29">
        <v>113.19041215856804</v>
      </c>
      <c r="F137" s="29">
        <v>14.110508767850122</v>
      </c>
      <c r="G137" s="29">
        <v>0</v>
      </c>
      <c r="H137" s="29">
        <v>0</v>
      </c>
      <c r="I137" s="29">
        <v>0</v>
      </c>
      <c r="J137" s="29">
        <v>0</v>
      </c>
      <c r="K137" s="29">
        <v>31.533007814032707</v>
      </c>
      <c r="L137" s="30">
        <v>0</v>
      </c>
      <c r="M137" s="30">
        <v>0</v>
      </c>
    </row>
    <row r="138" spans="2:13" x14ac:dyDescent="0.25">
      <c r="B138" s="27">
        <v>135</v>
      </c>
      <c r="C138" s="29">
        <v>49.077701273496764</v>
      </c>
      <c r="D138" s="29">
        <v>81.482035881821432</v>
      </c>
      <c r="E138" s="29">
        <v>81.757062699158183</v>
      </c>
      <c r="F138" s="29">
        <v>54.669971742153876</v>
      </c>
      <c r="G138" s="29">
        <v>0</v>
      </c>
      <c r="H138" s="29">
        <v>43.984244494043232</v>
      </c>
      <c r="I138" s="29">
        <v>59.491763861094839</v>
      </c>
      <c r="J138" s="29">
        <v>48.292821625743976</v>
      </c>
      <c r="K138" s="29">
        <v>49.370219234836824</v>
      </c>
      <c r="L138" s="30">
        <v>0</v>
      </c>
      <c r="M138" s="30">
        <v>0</v>
      </c>
    </row>
    <row r="139" spans="2:13" x14ac:dyDescent="0.25">
      <c r="B139" s="27">
        <v>136</v>
      </c>
      <c r="C139" s="29">
        <v>48.404140390144129</v>
      </c>
      <c r="D139" s="29">
        <v>82.782839119983549</v>
      </c>
      <c r="E139" s="29">
        <v>76.762354475070566</v>
      </c>
      <c r="F139" s="29">
        <v>51.929195700618067</v>
      </c>
      <c r="G139" s="29">
        <v>39.847923535055358</v>
      </c>
      <c r="H139" s="29">
        <v>0</v>
      </c>
      <c r="I139" s="29">
        <v>0</v>
      </c>
      <c r="J139" s="29">
        <v>0</v>
      </c>
      <c r="K139" s="29">
        <v>33.013157265533145</v>
      </c>
      <c r="L139" s="30">
        <v>0</v>
      </c>
      <c r="M139" s="30">
        <v>0</v>
      </c>
    </row>
    <row r="140" spans="2:13" x14ac:dyDescent="0.25">
      <c r="B140" s="27">
        <v>137</v>
      </c>
      <c r="C140" s="29">
        <v>31.029744652457207</v>
      </c>
      <c r="D140" s="29">
        <v>93.692419038578294</v>
      </c>
      <c r="E140" s="29">
        <v>76.423511526483395</v>
      </c>
      <c r="F140" s="29">
        <v>57.961243550863628</v>
      </c>
      <c r="G140" s="29">
        <v>0</v>
      </c>
      <c r="H140" s="29">
        <v>0</v>
      </c>
      <c r="I140" s="29">
        <v>49.257008105080999</v>
      </c>
      <c r="J140" s="29">
        <v>0</v>
      </c>
      <c r="K140" s="29">
        <v>28.245585530635637</v>
      </c>
      <c r="L140" s="30">
        <v>0</v>
      </c>
      <c r="M140" s="30">
        <v>0</v>
      </c>
    </row>
    <row r="141" spans="2:13" x14ac:dyDescent="0.25">
      <c r="B141" s="27">
        <v>138</v>
      </c>
      <c r="C141" s="29">
        <v>43.87525049965965</v>
      </c>
      <c r="D141" s="29">
        <v>71.109904460301607</v>
      </c>
      <c r="E141" s="29">
        <v>108.26884029299339</v>
      </c>
      <c r="F141" s="29">
        <v>30.467283900946704</v>
      </c>
      <c r="G141" s="29">
        <v>0</v>
      </c>
      <c r="H141" s="29">
        <v>0</v>
      </c>
      <c r="I141" s="29">
        <v>0</v>
      </c>
      <c r="J141" s="29">
        <v>0</v>
      </c>
      <c r="K141" s="29">
        <v>48.605172533369988</v>
      </c>
      <c r="L141" s="30">
        <v>0</v>
      </c>
      <c r="M141" s="30">
        <v>0</v>
      </c>
    </row>
    <row r="142" spans="2:13" x14ac:dyDescent="0.25">
      <c r="B142" s="27">
        <v>139</v>
      </c>
      <c r="C142" s="29">
        <v>19.145030924303821</v>
      </c>
      <c r="D142" s="29">
        <v>69.925270269210898</v>
      </c>
      <c r="E142" s="29">
        <v>119.69158854319521</v>
      </c>
      <c r="F142" s="29">
        <v>25.005975836534084</v>
      </c>
      <c r="G142" s="29">
        <v>0</v>
      </c>
      <c r="H142" s="29">
        <v>0</v>
      </c>
      <c r="I142" s="29">
        <v>0</v>
      </c>
      <c r="J142" s="29">
        <v>0</v>
      </c>
      <c r="K142" s="29">
        <v>58.433593987416479</v>
      </c>
      <c r="L142" s="30">
        <v>0</v>
      </c>
      <c r="M142" s="30">
        <v>0</v>
      </c>
    </row>
    <row r="143" spans="2:13" x14ac:dyDescent="0.25">
      <c r="B143" s="27">
        <v>140</v>
      </c>
      <c r="C143" s="29">
        <v>50.823469526605514</v>
      </c>
      <c r="D143" s="29">
        <v>79.547568289807955</v>
      </c>
      <c r="E143" s="29">
        <v>108.39751315091186</v>
      </c>
      <c r="F143" s="29">
        <v>0</v>
      </c>
      <c r="G143" s="29">
        <v>0</v>
      </c>
      <c r="H143" s="29">
        <v>0</v>
      </c>
      <c r="I143" s="29">
        <v>35.637181495699423</v>
      </c>
      <c r="J143" s="29">
        <v>25.530451179373053</v>
      </c>
      <c r="K143" s="29">
        <v>0</v>
      </c>
      <c r="L143" s="30">
        <v>0</v>
      </c>
      <c r="M143" s="30">
        <v>0</v>
      </c>
    </row>
    <row r="144" spans="2:13" x14ac:dyDescent="0.25">
      <c r="B144" s="27">
        <v>141</v>
      </c>
      <c r="C144" s="29">
        <v>43.739732216455849</v>
      </c>
      <c r="D144" s="29">
        <v>63.442038523707211</v>
      </c>
      <c r="E144" s="29">
        <v>78.488643043881154</v>
      </c>
      <c r="F144" s="29">
        <v>0</v>
      </c>
      <c r="G144" s="29">
        <v>0</v>
      </c>
      <c r="H144" s="29">
        <v>0</v>
      </c>
      <c r="I144" s="29">
        <v>0</v>
      </c>
      <c r="J144" s="29">
        <v>0</v>
      </c>
      <c r="K144" s="29">
        <v>49.90335015308375</v>
      </c>
      <c r="L144" s="30">
        <v>0</v>
      </c>
      <c r="M144" s="30">
        <v>0</v>
      </c>
    </row>
    <row r="145" spans="2:13" x14ac:dyDescent="0.25">
      <c r="B145" s="27">
        <v>142</v>
      </c>
      <c r="C145" s="29">
        <v>44.978929131295111</v>
      </c>
      <c r="D145" s="29">
        <v>0</v>
      </c>
      <c r="E145" s="29">
        <v>0</v>
      </c>
      <c r="F145" s="29">
        <v>34.654914064469288</v>
      </c>
      <c r="G145" s="29">
        <v>0</v>
      </c>
      <c r="H145" s="29">
        <v>45.917348748024537</v>
      </c>
      <c r="I145" s="29">
        <v>0</v>
      </c>
      <c r="J145" s="29">
        <v>0</v>
      </c>
      <c r="K145" s="29">
        <v>45.186250967304908</v>
      </c>
      <c r="L145" s="30">
        <v>0</v>
      </c>
      <c r="M145" s="30">
        <v>0</v>
      </c>
    </row>
    <row r="146" spans="2:13" x14ac:dyDescent="0.25">
      <c r="B146" s="27">
        <v>143</v>
      </c>
      <c r="C146" s="29">
        <v>41.493651823877428</v>
      </c>
      <c r="D146" s="29">
        <v>89.211070785302965</v>
      </c>
      <c r="E146" s="29">
        <v>0</v>
      </c>
      <c r="F146" s="29">
        <v>0</v>
      </c>
      <c r="G146" s="29">
        <v>0</v>
      </c>
      <c r="H146" s="29">
        <v>0</v>
      </c>
      <c r="I146" s="29">
        <v>0</v>
      </c>
      <c r="J146" s="29">
        <v>0</v>
      </c>
      <c r="K146" s="29">
        <v>37.515452446458625</v>
      </c>
      <c r="L146" s="30">
        <v>0</v>
      </c>
      <c r="M146" s="30">
        <v>0</v>
      </c>
    </row>
    <row r="147" spans="2:13" x14ac:dyDescent="0.25">
      <c r="B147" s="27">
        <v>144</v>
      </c>
      <c r="C147" s="29">
        <v>57.740481274181761</v>
      </c>
      <c r="D147" s="29">
        <v>58.584455388594961</v>
      </c>
      <c r="E147" s="29">
        <v>118.02934423642103</v>
      </c>
      <c r="F147" s="29">
        <v>56.679268358736564</v>
      </c>
      <c r="G147" s="29">
        <v>0</v>
      </c>
      <c r="H147" s="29">
        <v>0</v>
      </c>
      <c r="I147" s="29">
        <v>0</v>
      </c>
      <c r="J147" s="29">
        <v>0</v>
      </c>
      <c r="K147" s="29">
        <v>32.155227647243549</v>
      </c>
      <c r="L147" s="30">
        <v>0</v>
      </c>
      <c r="M147" s="30">
        <v>0</v>
      </c>
    </row>
    <row r="148" spans="2:13" x14ac:dyDescent="0.25">
      <c r="B148" s="27">
        <v>145</v>
      </c>
      <c r="C148" s="29">
        <v>44.875656576263346</v>
      </c>
      <c r="D148" s="29">
        <v>80.185728047596555</v>
      </c>
      <c r="E148" s="29">
        <v>114.36749804006479</v>
      </c>
      <c r="F148" s="29">
        <v>68.00618833897974</v>
      </c>
      <c r="G148" s="29">
        <v>0</v>
      </c>
      <c r="H148" s="29">
        <v>0</v>
      </c>
      <c r="I148" s="29">
        <v>0</v>
      </c>
      <c r="J148" s="29">
        <v>37.140159946513144</v>
      </c>
      <c r="K148" s="29">
        <v>41.141474838021963</v>
      </c>
      <c r="L148" s="30">
        <v>0</v>
      </c>
      <c r="M148" s="30">
        <v>0</v>
      </c>
    </row>
    <row r="149" spans="2:13" x14ac:dyDescent="0.25">
      <c r="B149" s="27">
        <v>146</v>
      </c>
      <c r="C149" s="29">
        <v>60.504463322323041</v>
      </c>
      <c r="D149" s="29">
        <v>68.160025366264449</v>
      </c>
      <c r="E149" s="29">
        <v>75.08475666347951</v>
      </c>
      <c r="F149" s="29">
        <v>41.020226123495888</v>
      </c>
      <c r="G149" s="29">
        <v>0</v>
      </c>
      <c r="H149" s="29">
        <v>0</v>
      </c>
      <c r="I149" s="29">
        <v>0</v>
      </c>
      <c r="J149" s="29">
        <v>0</v>
      </c>
      <c r="K149" s="29">
        <v>59.704431252664165</v>
      </c>
      <c r="L149" s="30">
        <v>0</v>
      </c>
      <c r="M149" s="30">
        <v>0</v>
      </c>
    </row>
    <row r="150" spans="2:13" x14ac:dyDescent="0.25">
      <c r="B150" s="27">
        <v>147</v>
      </c>
      <c r="C150" s="29">
        <v>35.021638128494473</v>
      </c>
      <c r="D150" s="29">
        <v>59.643736598387562</v>
      </c>
      <c r="E150" s="29">
        <v>0</v>
      </c>
      <c r="F150" s="29">
        <v>49.774227581808283</v>
      </c>
      <c r="G150" s="29">
        <v>23.255293596159383</v>
      </c>
      <c r="H150" s="29">
        <v>0</v>
      </c>
      <c r="I150" s="29">
        <v>0</v>
      </c>
      <c r="J150" s="29">
        <v>49.902988212459469</v>
      </c>
      <c r="K150" s="29">
        <v>0</v>
      </c>
      <c r="L150" s="30">
        <v>0</v>
      </c>
      <c r="M150" s="30">
        <v>0</v>
      </c>
    </row>
    <row r="151" spans="2:13" x14ac:dyDescent="0.25">
      <c r="B151" s="27">
        <v>148</v>
      </c>
      <c r="C151" s="29">
        <v>38.268924613715519</v>
      </c>
      <c r="D151" s="29">
        <v>63.099668911321864</v>
      </c>
      <c r="E151" s="29">
        <v>94.044940898436693</v>
      </c>
      <c r="F151" s="29">
        <v>18.957008511519923</v>
      </c>
      <c r="G151" s="29">
        <v>39.246183922392689</v>
      </c>
      <c r="H151" s="29">
        <v>35.499920254359473</v>
      </c>
      <c r="I151" s="29">
        <v>0</v>
      </c>
      <c r="J151" s="29">
        <v>0</v>
      </c>
      <c r="K151" s="29">
        <v>32.632245247443166</v>
      </c>
      <c r="L151" s="30">
        <v>0</v>
      </c>
      <c r="M151" s="30">
        <v>0</v>
      </c>
    </row>
    <row r="152" spans="2:13" x14ac:dyDescent="0.25">
      <c r="B152" s="27">
        <v>149</v>
      </c>
      <c r="C152" s="29">
        <v>44.511377805639441</v>
      </c>
      <c r="D152" s="29">
        <v>71.275857645457677</v>
      </c>
      <c r="E152" s="29">
        <v>120.42405884372471</v>
      </c>
      <c r="F152" s="29">
        <v>0</v>
      </c>
      <c r="G152" s="29">
        <v>0</v>
      </c>
      <c r="H152" s="29">
        <v>39.414149258787631</v>
      </c>
      <c r="I152" s="29">
        <v>35.386539602297596</v>
      </c>
      <c r="J152" s="29">
        <v>0</v>
      </c>
      <c r="K152" s="29">
        <v>29.437071704402992</v>
      </c>
      <c r="L152" s="30">
        <v>0</v>
      </c>
      <c r="M152" s="30">
        <v>0</v>
      </c>
    </row>
    <row r="153" spans="2:13" x14ac:dyDescent="0.25">
      <c r="B153" s="27">
        <v>150</v>
      </c>
      <c r="C153" s="29">
        <v>67.540099782086827</v>
      </c>
      <c r="D153" s="29">
        <v>60.877562779333672</v>
      </c>
      <c r="E153" s="29">
        <v>0</v>
      </c>
      <c r="F153" s="29">
        <v>53.909228516328341</v>
      </c>
      <c r="G153" s="29">
        <v>0</v>
      </c>
      <c r="H153" s="29">
        <v>0</v>
      </c>
      <c r="I153" s="29">
        <v>28.959065734231551</v>
      </c>
      <c r="J153" s="29">
        <v>41.236576336700274</v>
      </c>
      <c r="K153" s="29">
        <v>0</v>
      </c>
      <c r="L153" s="30">
        <v>0</v>
      </c>
      <c r="M153" s="30">
        <v>0</v>
      </c>
    </row>
    <row r="154" spans="2:13" x14ac:dyDescent="0.25">
      <c r="B154" s="27">
        <v>151</v>
      </c>
      <c r="C154" s="29">
        <v>39.67307896579895</v>
      </c>
      <c r="D154" s="29">
        <v>0</v>
      </c>
      <c r="E154" s="29">
        <v>95.24182335324349</v>
      </c>
      <c r="F154" s="29">
        <v>58.015136020470869</v>
      </c>
      <c r="G154" s="29">
        <v>0</v>
      </c>
      <c r="H154" s="29">
        <v>57.430787912772793</v>
      </c>
      <c r="I154" s="29">
        <v>14.415937106847714</v>
      </c>
      <c r="J154" s="29">
        <v>0</v>
      </c>
      <c r="K154" s="29">
        <v>16.98616638510957</v>
      </c>
      <c r="L154" s="30">
        <v>0</v>
      </c>
      <c r="M154" s="30">
        <v>0</v>
      </c>
    </row>
    <row r="155" spans="2:13" x14ac:dyDescent="0.25">
      <c r="B155" s="27">
        <v>152</v>
      </c>
      <c r="C155" s="29">
        <v>36.894687323883758</v>
      </c>
      <c r="D155" s="29">
        <v>84.418660657919574</v>
      </c>
      <c r="E155" s="29">
        <v>108.79777832385616</v>
      </c>
      <c r="F155" s="29">
        <v>44.794589771060174</v>
      </c>
      <c r="G155" s="29">
        <v>0</v>
      </c>
      <c r="H155" s="29">
        <v>0</v>
      </c>
      <c r="I155" s="29">
        <v>0</v>
      </c>
      <c r="J155" s="29">
        <v>0</v>
      </c>
      <c r="K155" s="29">
        <v>50.207130981399786</v>
      </c>
      <c r="L155" s="30">
        <v>0</v>
      </c>
      <c r="M155" s="30">
        <v>0</v>
      </c>
    </row>
    <row r="156" spans="2:13" x14ac:dyDescent="0.25">
      <c r="B156" s="27">
        <v>153</v>
      </c>
      <c r="C156" s="29">
        <v>41.495213244839157</v>
      </c>
      <c r="D156" s="29">
        <v>63.303678008725797</v>
      </c>
      <c r="E156" s="29">
        <v>87.878366858614896</v>
      </c>
      <c r="F156" s="29">
        <v>51.141230141992452</v>
      </c>
      <c r="G156" s="29">
        <v>0</v>
      </c>
      <c r="H156" s="29">
        <v>0</v>
      </c>
      <c r="I156" s="29">
        <v>0</v>
      </c>
      <c r="J156" s="29">
        <v>0</v>
      </c>
      <c r="K156" s="29">
        <v>50.951931670800278</v>
      </c>
      <c r="L156" s="30">
        <v>0</v>
      </c>
      <c r="M156" s="30">
        <v>0</v>
      </c>
    </row>
    <row r="157" spans="2:13" x14ac:dyDescent="0.25">
      <c r="B157" s="27">
        <v>154</v>
      </c>
      <c r="C157" s="29">
        <v>39.078652674056002</v>
      </c>
      <c r="D157" s="29">
        <v>78.553648977615978</v>
      </c>
      <c r="E157" s="29">
        <v>0</v>
      </c>
      <c r="F157" s="29">
        <v>15.706673345913529</v>
      </c>
      <c r="G157" s="29">
        <v>44.664329477496139</v>
      </c>
      <c r="H157" s="29">
        <v>0</v>
      </c>
      <c r="I157" s="29">
        <v>0</v>
      </c>
      <c r="J157" s="29">
        <v>0</v>
      </c>
      <c r="K157" s="29">
        <v>0</v>
      </c>
      <c r="L157" s="30">
        <v>0</v>
      </c>
      <c r="M157" s="30">
        <v>0</v>
      </c>
    </row>
    <row r="158" spans="2:13" x14ac:dyDescent="0.25">
      <c r="B158" s="27">
        <v>155</v>
      </c>
      <c r="C158" s="29">
        <v>34.586063373593113</v>
      </c>
      <c r="D158" s="29">
        <v>73.476008716713338</v>
      </c>
      <c r="E158" s="29">
        <v>104.50799787137812</v>
      </c>
      <c r="F158" s="29">
        <v>0</v>
      </c>
      <c r="G158" s="29">
        <v>49.224190621572198</v>
      </c>
      <c r="H158" s="29">
        <v>0</v>
      </c>
      <c r="I158" s="29">
        <v>0</v>
      </c>
      <c r="J158" s="29">
        <v>0</v>
      </c>
      <c r="K158" s="29">
        <v>49.531878088748009</v>
      </c>
      <c r="L158" s="30">
        <v>0</v>
      </c>
      <c r="M158" s="30">
        <v>0</v>
      </c>
    </row>
    <row r="159" spans="2:13" x14ac:dyDescent="0.25">
      <c r="B159" s="27">
        <v>156</v>
      </c>
      <c r="C159" s="29">
        <v>34.22843879458253</v>
      </c>
      <c r="D159" s="29">
        <v>84.197867413560814</v>
      </c>
      <c r="E159" s="29">
        <v>0</v>
      </c>
      <c r="F159" s="29">
        <v>29.48699027567158</v>
      </c>
      <c r="G159" s="29">
        <v>0</v>
      </c>
      <c r="H159" s="29">
        <v>0</v>
      </c>
      <c r="I159" s="29">
        <v>50.914953066916119</v>
      </c>
      <c r="J159" s="29">
        <v>0</v>
      </c>
      <c r="K159" s="29">
        <v>63.804812313594631</v>
      </c>
      <c r="L159" s="30">
        <v>0</v>
      </c>
      <c r="M159" s="30">
        <v>0</v>
      </c>
    </row>
    <row r="160" spans="2:13" x14ac:dyDescent="0.25">
      <c r="B160" s="27">
        <v>157</v>
      </c>
      <c r="C160" s="29">
        <v>43.339850336271013</v>
      </c>
      <c r="D160" s="29">
        <v>80.430570854431039</v>
      </c>
      <c r="E160" s="29">
        <v>0</v>
      </c>
      <c r="F160" s="29">
        <v>46.433582918372956</v>
      </c>
      <c r="G160" s="29">
        <v>0</v>
      </c>
      <c r="H160" s="29">
        <v>0</v>
      </c>
      <c r="I160" s="29">
        <v>50.667635022202049</v>
      </c>
      <c r="J160" s="29">
        <v>0</v>
      </c>
      <c r="K160" s="29">
        <v>45.99607620362837</v>
      </c>
      <c r="L160" s="30">
        <v>0</v>
      </c>
      <c r="M160" s="30">
        <v>0</v>
      </c>
    </row>
    <row r="161" spans="2:13" x14ac:dyDescent="0.25">
      <c r="B161" s="27">
        <v>158</v>
      </c>
      <c r="C161" s="29">
        <v>19.818809028888147</v>
      </c>
      <c r="D161" s="29">
        <v>0</v>
      </c>
      <c r="E161" s="29">
        <v>92.10574542538518</v>
      </c>
      <c r="F161" s="29">
        <v>52.486695296402459</v>
      </c>
      <c r="G161" s="29">
        <v>0</v>
      </c>
      <c r="H161" s="29">
        <v>0</v>
      </c>
      <c r="I161" s="29">
        <v>0</v>
      </c>
      <c r="J161" s="29">
        <v>0</v>
      </c>
      <c r="K161" s="29">
        <v>21.789790098720104</v>
      </c>
      <c r="L161" s="30">
        <v>57.369124793021989</v>
      </c>
      <c r="M161" s="30">
        <v>0</v>
      </c>
    </row>
    <row r="162" spans="2:13" x14ac:dyDescent="0.25">
      <c r="B162" s="27">
        <v>159</v>
      </c>
      <c r="C162" s="29">
        <v>26.123175673371183</v>
      </c>
      <c r="D162" s="29">
        <v>91.145234258387447</v>
      </c>
      <c r="E162" s="29">
        <v>128.70339343543444</v>
      </c>
      <c r="F162" s="29">
        <v>48.98649509222723</v>
      </c>
      <c r="G162" s="29">
        <v>0</v>
      </c>
      <c r="H162" s="29">
        <v>0</v>
      </c>
      <c r="I162" s="29">
        <v>31.923695392681012</v>
      </c>
      <c r="J162" s="29">
        <v>0</v>
      </c>
      <c r="K162" s="29">
        <v>49.701341907584727</v>
      </c>
      <c r="L162" s="30">
        <v>0</v>
      </c>
      <c r="M162" s="30">
        <v>0</v>
      </c>
    </row>
    <row r="163" spans="2:13" x14ac:dyDescent="0.25">
      <c r="B163" s="27">
        <v>160</v>
      </c>
      <c r="C163" s="29">
        <v>54.51675657460413</v>
      </c>
      <c r="D163" s="29">
        <v>54.357088397200471</v>
      </c>
      <c r="E163" s="29">
        <v>127.78251842523045</v>
      </c>
      <c r="F163" s="29">
        <v>48.110472583348937</v>
      </c>
      <c r="G163" s="29">
        <v>0</v>
      </c>
      <c r="H163" s="29">
        <v>0</v>
      </c>
      <c r="I163" s="29">
        <v>0</v>
      </c>
      <c r="J163" s="29">
        <v>0</v>
      </c>
      <c r="K163" s="29">
        <v>30.415041808981186</v>
      </c>
      <c r="L163" s="30">
        <v>0</v>
      </c>
      <c r="M163" s="30">
        <v>0</v>
      </c>
    </row>
    <row r="164" spans="2:13" x14ac:dyDescent="0.25">
      <c r="B164" s="27">
        <v>161</v>
      </c>
      <c r="C164" s="29">
        <v>34.423411801206349</v>
      </c>
      <c r="D164" s="29">
        <v>66.54179919056169</v>
      </c>
      <c r="E164" s="29">
        <v>0</v>
      </c>
      <c r="F164" s="29">
        <v>14.292489697739965</v>
      </c>
      <c r="G164" s="29">
        <v>0</v>
      </c>
      <c r="H164" s="29">
        <v>0</v>
      </c>
      <c r="I164" s="29">
        <v>66.161511481441693</v>
      </c>
      <c r="J164" s="29">
        <v>0</v>
      </c>
      <c r="K164" s="29">
        <v>55.702946643098265</v>
      </c>
      <c r="L164" s="30">
        <v>0</v>
      </c>
      <c r="M164" s="30">
        <v>0</v>
      </c>
    </row>
    <row r="165" spans="2:13" x14ac:dyDescent="0.25">
      <c r="B165" s="27">
        <v>162</v>
      </c>
      <c r="C165" s="29">
        <v>47.499336849040063</v>
      </c>
      <c r="D165" s="29">
        <v>65.863994347166397</v>
      </c>
      <c r="E165" s="29">
        <v>76.781738821638982</v>
      </c>
      <c r="F165" s="29">
        <v>48.109422853557355</v>
      </c>
      <c r="G165" s="29">
        <v>0</v>
      </c>
      <c r="H165" s="29">
        <v>32.983555832004853</v>
      </c>
      <c r="I165" s="29">
        <v>41.70005643726175</v>
      </c>
      <c r="J165" s="29">
        <v>0</v>
      </c>
      <c r="K165" s="29">
        <v>0</v>
      </c>
      <c r="L165" s="30">
        <v>0</v>
      </c>
      <c r="M165" s="30">
        <v>0</v>
      </c>
    </row>
    <row r="166" spans="2:13" x14ac:dyDescent="0.25">
      <c r="B166" s="27">
        <v>163</v>
      </c>
      <c r="C166" s="29">
        <v>61.87532717115198</v>
      </c>
      <c r="D166" s="29">
        <v>81.679911644248634</v>
      </c>
      <c r="E166" s="29">
        <v>0</v>
      </c>
      <c r="F166" s="29">
        <v>46.769631074885218</v>
      </c>
      <c r="G166" s="29">
        <v>0</v>
      </c>
      <c r="H166" s="29">
        <v>0</v>
      </c>
      <c r="I166" s="29">
        <v>61.16399731757916</v>
      </c>
      <c r="J166" s="29">
        <v>0</v>
      </c>
      <c r="K166" s="29">
        <v>42.609175113849943</v>
      </c>
      <c r="L166" s="30">
        <v>0</v>
      </c>
      <c r="M166" s="30">
        <v>0</v>
      </c>
    </row>
    <row r="167" spans="2:13" x14ac:dyDescent="0.25">
      <c r="B167" s="27">
        <v>164</v>
      </c>
      <c r="C167" s="29">
        <v>43.169108771146362</v>
      </c>
      <c r="D167" s="29">
        <v>88.728539055711522</v>
      </c>
      <c r="E167" s="29">
        <v>89.643586970966254</v>
      </c>
      <c r="F167" s="29">
        <v>20.740026389159731</v>
      </c>
      <c r="G167" s="29">
        <v>0</v>
      </c>
      <c r="H167" s="29">
        <v>40.055855053258455</v>
      </c>
      <c r="I167" s="29">
        <v>0</v>
      </c>
      <c r="J167" s="29">
        <v>0</v>
      </c>
      <c r="K167" s="29">
        <v>56.252780960010725</v>
      </c>
      <c r="L167" s="30">
        <v>0</v>
      </c>
      <c r="M167" s="30">
        <v>0</v>
      </c>
    </row>
    <row r="168" spans="2:13" x14ac:dyDescent="0.25">
      <c r="B168" s="27">
        <v>165</v>
      </c>
      <c r="C168" s="29">
        <v>34.923499394310568</v>
      </c>
      <c r="D168" s="29">
        <v>76.284427109917573</v>
      </c>
      <c r="E168" s="29">
        <v>0</v>
      </c>
      <c r="F168" s="29">
        <v>33.243171560270213</v>
      </c>
      <c r="G168" s="29">
        <v>0</v>
      </c>
      <c r="H168" s="29">
        <v>0</v>
      </c>
      <c r="I168" s="29">
        <v>0</v>
      </c>
      <c r="J168" s="29">
        <v>0</v>
      </c>
      <c r="K168" s="29">
        <v>0</v>
      </c>
      <c r="L168" s="30">
        <v>0</v>
      </c>
      <c r="M168" s="30">
        <v>0</v>
      </c>
    </row>
    <row r="169" spans="2:13" x14ac:dyDescent="0.25">
      <c r="B169" s="27">
        <v>166</v>
      </c>
      <c r="C169" s="29">
        <v>43.901355363401343</v>
      </c>
      <c r="D169" s="29">
        <v>0</v>
      </c>
      <c r="E169" s="29">
        <v>0</v>
      </c>
      <c r="F169" s="29">
        <v>0</v>
      </c>
      <c r="G169" s="29">
        <v>0</v>
      </c>
      <c r="H169" s="29">
        <v>0</v>
      </c>
      <c r="I169" s="29">
        <v>50.771311985823715</v>
      </c>
      <c r="J169" s="29">
        <v>0</v>
      </c>
      <c r="K169" s="29">
        <v>48.908065531360343</v>
      </c>
      <c r="L169" s="30">
        <v>0</v>
      </c>
      <c r="M169" s="30">
        <v>0</v>
      </c>
    </row>
    <row r="170" spans="2:13" x14ac:dyDescent="0.25">
      <c r="B170" s="27">
        <v>167</v>
      </c>
      <c r="C170" s="29">
        <v>18.48763600862592</v>
      </c>
      <c r="D170" s="29">
        <v>93.243703485214752</v>
      </c>
      <c r="E170" s="29">
        <v>0</v>
      </c>
      <c r="F170" s="29">
        <v>58.31667990192517</v>
      </c>
      <c r="G170" s="29">
        <v>0</v>
      </c>
      <c r="H170" s="29">
        <v>0</v>
      </c>
      <c r="I170" s="29">
        <v>0</v>
      </c>
      <c r="J170" s="29">
        <v>0</v>
      </c>
      <c r="K170" s="29">
        <v>59.548837354373369</v>
      </c>
      <c r="L170" s="30">
        <v>0</v>
      </c>
      <c r="M170" s="30">
        <v>0</v>
      </c>
    </row>
    <row r="171" spans="2:13" x14ac:dyDescent="0.25">
      <c r="B171" s="27">
        <v>168</v>
      </c>
      <c r="C171" s="29">
        <v>0</v>
      </c>
      <c r="D171" s="29">
        <v>91.132613072751838</v>
      </c>
      <c r="E171" s="29">
        <v>0</v>
      </c>
      <c r="F171" s="29">
        <v>0</v>
      </c>
      <c r="G171" s="29">
        <v>0</v>
      </c>
      <c r="H171" s="29">
        <v>0</v>
      </c>
      <c r="I171" s="29">
        <v>0</v>
      </c>
      <c r="J171" s="29">
        <v>0</v>
      </c>
      <c r="K171" s="29">
        <v>0</v>
      </c>
      <c r="L171" s="30">
        <v>0</v>
      </c>
      <c r="M171" s="30">
        <v>0</v>
      </c>
    </row>
    <row r="172" spans="2:13" x14ac:dyDescent="0.25">
      <c r="B172" s="27">
        <v>169</v>
      </c>
      <c r="C172" s="29">
        <v>54.484748516001147</v>
      </c>
      <c r="D172" s="29">
        <v>92.191734155692984</v>
      </c>
      <c r="E172" s="29">
        <v>119.87278504881377</v>
      </c>
      <c r="F172" s="29">
        <v>0</v>
      </c>
      <c r="G172" s="29">
        <v>0</v>
      </c>
      <c r="H172" s="29">
        <v>0</v>
      </c>
      <c r="I172" s="29">
        <v>54.749176254535698</v>
      </c>
      <c r="J172" s="29">
        <v>0</v>
      </c>
      <c r="K172" s="29">
        <v>52.514789290707427</v>
      </c>
      <c r="L172" s="30">
        <v>0</v>
      </c>
      <c r="M172" s="30">
        <v>0</v>
      </c>
    </row>
    <row r="173" spans="2:13" x14ac:dyDescent="0.25">
      <c r="B173" s="27">
        <v>170</v>
      </c>
      <c r="C173" s="29">
        <v>57.891760857336244</v>
      </c>
      <c r="D173" s="29">
        <v>69.796597752485923</v>
      </c>
      <c r="E173" s="29">
        <v>99.354344993941993</v>
      </c>
      <c r="F173" s="29">
        <v>36.724267331330012</v>
      </c>
      <c r="G173" s="29">
        <v>0</v>
      </c>
      <c r="H173" s="29">
        <v>0</v>
      </c>
      <c r="I173" s="29">
        <v>38.398508641837935</v>
      </c>
      <c r="J173" s="29">
        <v>0</v>
      </c>
      <c r="K173" s="29">
        <v>18.271629903869311</v>
      </c>
      <c r="L173" s="30">
        <v>0</v>
      </c>
      <c r="M173" s="30">
        <v>0</v>
      </c>
    </row>
    <row r="174" spans="2:13" x14ac:dyDescent="0.25">
      <c r="B174" s="27">
        <v>171</v>
      </c>
      <c r="C174" s="29">
        <v>33.135908300449756</v>
      </c>
      <c r="D174" s="29">
        <v>80.402072582438649</v>
      </c>
      <c r="E174" s="29">
        <v>89.372573418943432</v>
      </c>
      <c r="F174" s="29">
        <v>26.25097640742397</v>
      </c>
      <c r="G174" s="29">
        <v>0</v>
      </c>
      <c r="H174" s="29">
        <v>0</v>
      </c>
      <c r="I174" s="29">
        <v>35.160321217876202</v>
      </c>
      <c r="J174" s="29">
        <v>47.098305146443707</v>
      </c>
      <c r="K174" s="29">
        <v>0</v>
      </c>
      <c r="L174" s="30">
        <v>0</v>
      </c>
      <c r="M174" s="30">
        <v>0</v>
      </c>
    </row>
    <row r="175" spans="2:13" x14ac:dyDescent="0.25">
      <c r="B175" s="27">
        <v>172</v>
      </c>
      <c r="C175" s="29">
        <v>29.334336060061101</v>
      </c>
      <c r="D175" s="29">
        <v>94.133509395385161</v>
      </c>
      <c r="E175" s="29">
        <v>107.46345036067505</v>
      </c>
      <c r="F175" s="29">
        <v>53.580263627704035</v>
      </c>
      <c r="G175" s="29">
        <v>0</v>
      </c>
      <c r="H175" s="29">
        <v>23.408534742905971</v>
      </c>
      <c r="I175" s="29">
        <v>32.448946672303428</v>
      </c>
      <c r="J175" s="29">
        <v>0</v>
      </c>
      <c r="K175" s="29">
        <v>47.627542162267815</v>
      </c>
      <c r="L175" s="30">
        <v>0</v>
      </c>
      <c r="M175" s="30">
        <v>0</v>
      </c>
    </row>
    <row r="176" spans="2:13" x14ac:dyDescent="0.25">
      <c r="B176" s="27">
        <v>173</v>
      </c>
      <c r="C176" s="29">
        <v>47.414520115551021</v>
      </c>
      <c r="D176" s="29">
        <v>57.875299376200523</v>
      </c>
      <c r="E176" s="29">
        <v>0</v>
      </c>
      <c r="F176" s="29">
        <v>43.19859979241766</v>
      </c>
      <c r="G176" s="29">
        <v>0</v>
      </c>
      <c r="H176" s="29">
        <v>58.656965441663971</v>
      </c>
      <c r="I176" s="29">
        <v>0</v>
      </c>
      <c r="J176" s="29">
        <v>0</v>
      </c>
      <c r="K176" s="29">
        <v>30.124452279229907</v>
      </c>
      <c r="L176" s="30">
        <v>51.97535796323217</v>
      </c>
      <c r="M176" s="30">
        <v>0</v>
      </c>
    </row>
    <row r="177" spans="2:13" x14ac:dyDescent="0.25">
      <c r="B177" s="27">
        <v>174</v>
      </c>
      <c r="C177" s="29">
        <v>59.093792373029721</v>
      </c>
      <c r="D177" s="29">
        <v>61.938709179586297</v>
      </c>
      <c r="E177" s="29">
        <v>133.28531669102057</v>
      </c>
      <c r="F177" s="29">
        <v>0</v>
      </c>
      <c r="G177" s="29">
        <v>0</v>
      </c>
      <c r="H177" s="29">
        <v>0</v>
      </c>
      <c r="I177" s="29">
        <v>62.534873031076742</v>
      </c>
      <c r="J177" s="29">
        <v>0</v>
      </c>
      <c r="K177" s="29">
        <v>0</v>
      </c>
      <c r="L177" s="30">
        <v>0</v>
      </c>
      <c r="M177" s="30">
        <v>0</v>
      </c>
    </row>
    <row r="178" spans="2:13" x14ac:dyDescent="0.25">
      <c r="B178" s="27">
        <v>175</v>
      </c>
      <c r="C178" s="29">
        <v>61.605869380920211</v>
      </c>
      <c r="D178" s="29">
        <v>83.984736658805701</v>
      </c>
      <c r="E178" s="29">
        <v>104.66863038074112</v>
      </c>
      <c r="F178" s="29">
        <v>15.040740965661026</v>
      </c>
      <c r="G178" s="29">
        <v>0</v>
      </c>
      <c r="H178" s="29">
        <v>0</v>
      </c>
      <c r="I178" s="29">
        <v>28.896540490851745</v>
      </c>
      <c r="J178" s="29">
        <v>0</v>
      </c>
      <c r="K178" s="29">
        <v>42.773401790291516</v>
      </c>
      <c r="L178" s="30">
        <v>0</v>
      </c>
      <c r="M178" s="30">
        <v>0</v>
      </c>
    </row>
    <row r="179" spans="2:13" x14ac:dyDescent="0.25">
      <c r="B179" s="27">
        <v>176</v>
      </c>
      <c r="C179" s="29">
        <v>30.456154575460666</v>
      </c>
      <c r="D179" s="29">
        <v>0</v>
      </c>
      <c r="E179" s="29">
        <v>0</v>
      </c>
      <c r="F179" s="29">
        <v>27.250773051810782</v>
      </c>
      <c r="G179" s="29">
        <v>0</v>
      </c>
      <c r="H179" s="29">
        <v>0</v>
      </c>
      <c r="I179" s="29">
        <v>29.485441953529438</v>
      </c>
      <c r="J179" s="29">
        <v>0</v>
      </c>
      <c r="K179" s="29">
        <v>36.713532302199425</v>
      </c>
      <c r="L179" s="30">
        <v>0</v>
      </c>
      <c r="M179" s="30">
        <v>0</v>
      </c>
    </row>
    <row r="180" spans="2:13" x14ac:dyDescent="0.25">
      <c r="B180" s="27">
        <v>177</v>
      </c>
      <c r="C180" s="29">
        <v>37.861834998257393</v>
      </c>
      <c r="D180" s="29">
        <v>67.800546499866613</v>
      </c>
      <c r="E180" s="29">
        <v>118.88179624984157</v>
      </c>
      <c r="F180" s="29">
        <v>29.104465856420646</v>
      </c>
      <c r="G180" s="29">
        <v>0</v>
      </c>
      <c r="H180" s="29">
        <v>0</v>
      </c>
      <c r="I180" s="29">
        <v>30.827471350830471</v>
      </c>
      <c r="J180" s="29">
        <v>0</v>
      </c>
      <c r="K180" s="29">
        <v>27.568643162497139</v>
      </c>
      <c r="L180" s="30">
        <v>0</v>
      </c>
      <c r="M180" s="30">
        <v>0</v>
      </c>
    </row>
    <row r="181" spans="2:13" x14ac:dyDescent="0.25">
      <c r="B181" s="27">
        <v>178</v>
      </c>
      <c r="C181" s="29">
        <v>45.368195983590645</v>
      </c>
      <c r="D181" s="29">
        <v>68.558514098106315</v>
      </c>
      <c r="E181" s="29">
        <v>100.43716775306773</v>
      </c>
      <c r="F181" s="29">
        <v>0</v>
      </c>
      <c r="G181" s="29">
        <v>0</v>
      </c>
      <c r="H181" s="29">
        <v>0</v>
      </c>
      <c r="I181" s="29">
        <v>0</v>
      </c>
      <c r="J181" s="29">
        <v>0</v>
      </c>
      <c r="K181" s="29">
        <v>28.885177945380057</v>
      </c>
      <c r="L181" s="30">
        <v>0</v>
      </c>
      <c r="M181" s="30">
        <v>0</v>
      </c>
    </row>
    <row r="182" spans="2:13" x14ac:dyDescent="0.25">
      <c r="B182" s="27">
        <v>179</v>
      </c>
      <c r="C182" s="29">
        <v>58.924905024426714</v>
      </c>
      <c r="D182" s="29">
        <v>59.273074688367913</v>
      </c>
      <c r="E182" s="29">
        <v>106.42163595482219</v>
      </c>
      <c r="F182" s="29">
        <v>44.490024260055591</v>
      </c>
      <c r="G182" s="29">
        <v>0</v>
      </c>
      <c r="H182" s="29">
        <v>54.469669076950161</v>
      </c>
      <c r="I182" s="29">
        <v>18.721474778808265</v>
      </c>
      <c r="J182" s="29">
        <v>45.031577350763435</v>
      </c>
      <c r="K182" s="29">
        <v>65.118171742272651</v>
      </c>
      <c r="L182" s="30">
        <v>0</v>
      </c>
      <c r="M182" s="30">
        <v>0</v>
      </c>
    </row>
    <row r="183" spans="2:13" x14ac:dyDescent="0.25">
      <c r="B183" s="27">
        <v>180</v>
      </c>
      <c r="C183" s="29">
        <v>23.161350796096187</v>
      </c>
      <c r="D183" s="29">
        <v>0</v>
      </c>
      <c r="E183" s="29">
        <v>90.57637071454235</v>
      </c>
      <c r="F183" s="29">
        <v>55.049699145555259</v>
      </c>
      <c r="G183" s="29">
        <v>52.224901264977461</v>
      </c>
      <c r="H183" s="29">
        <v>41.878140219870161</v>
      </c>
      <c r="I183" s="29">
        <v>0</v>
      </c>
      <c r="J183" s="29">
        <v>0</v>
      </c>
      <c r="K183" s="29">
        <v>58.751165937068834</v>
      </c>
      <c r="L183" s="30">
        <v>0</v>
      </c>
      <c r="M183" s="30">
        <v>0</v>
      </c>
    </row>
    <row r="184" spans="2:13" x14ac:dyDescent="0.25">
      <c r="B184" s="27">
        <v>181</v>
      </c>
      <c r="C184" s="29">
        <v>50.811536598877481</v>
      </c>
      <c r="D184" s="29">
        <v>66.909808995996713</v>
      </c>
      <c r="E184" s="29">
        <v>0</v>
      </c>
      <c r="F184" s="29">
        <v>52.017025071860402</v>
      </c>
      <c r="G184" s="29">
        <v>0</v>
      </c>
      <c r="H184" s="29">
        <v>0</v>
      </c>
      <c r="I184" s="29">
        <v>55.717277150682797</v>
      </c>
      <c r="J184" s="29">
        <v>0</v>
      </c>
      <c r="K184" s="29">
        <v>49.822599451438201</v>
      </c>
      <c r="L184" s="30">
        <v>0</v>
      </c>
      <c r="M184" s="30">
        <v>0</v>
      </c>
    </row>
    <row r="185" spans="2:13" x14ac:dyDescent="0.25">
      <c r="B185" s="27">
        <v>182</v>
      </c>
      <c r="C185" s="29">
        <v>58.6904396310495</v>
      </c>
      <c r="D185" s="29">
        <v>55.630947871332623</v>
      </c>
      <c r="E185" s="29">
        <v>92.960280460617824</v>
      </c>
      <c r="F185" s="29">
        <v>48.345641361643949</v>
      </c>
      <c r="G185" s="29">
        <v>0</v>
      </c>
      <c r="H185" s="29">
        <v>0</v>
      </c>
      <c r="I185" s="29">
        <v>0</v>
      </c>
      <c r="J185" s="29">
        <v>39.847163962612832</v>
      </c>
      <c r="K185" s="29">
        <v>44.634211774410886</v>
      </c>
      <c r="L185" s="30">
        <v>0</v>
      </c>
      <c r="M185" s="30">
        <v>0</v>
      </c>
    </row>
    <row r="186" spans="2:13" x14ac:dyDescent="0.25">
      <c r="B186" s="27">
        <v>183</v>
      </c>
      <c r="C186" s="29">
        <v>0</v>
      </c>
      <c r="D186" s="29">
        <v>0</v>
      </c>
      <c r="E186" s="29">
        <v>83.273398295457895</v>
      </c>
      <c r="F186" s="29">
        <v>30.954444500292194</v>
      </c>
      <c r="G186" s="29">
        <v>0</v>
      </c>
      <c r="H186" s="29">
        <v>0</v>
      </c>
      <c r="I186" s="29">
        <v>0</v>
      </c>
      <c r="J186" s="29">
        <v>0</v>
      </c>
      <c r="K186" s="29">
        <v>42.864316148933028</v>
      </c>
      <c r="L186" s="30">
        <v>0</v>
      </c>
      <c r="M186" s="30">
        <v>0</v>
      </c>
    </row>
    <row r="187" spans="2:13" x14ac:dyDescent="0.25">
      <c r="B187" s="27">
        <v>184</v>
      </c>
      <c r="C187" s="29">
        <v>46.73337915959133</v>
      </c>
      <c r="D187" s="29">
        <v>67.754925579703823</v>
      </c>
      <c r="E187" s="29">
        <v>110.05024715017882</v>
      </c>
      <c r="F187" s="29">
        <v>16.601613302838832</v>
      </c>
      <c r="G187" s="29">
        <v>0</v>
      </c>
      <c r="H187" s="29">
        <v>37.023032249980872</v>
      </c>
      <c r="I187" s="29">
        <v>52.681815606730538</v>
      </c>
      <c r="J187" s="29">
        <v>0</v>
      </c>
      <c r="K187" s="29">
        <v>62.384540807181033</v>
      </c>
      <c r="L187" s="30">
        <v>0</v>
      </c>
      <c r="M187" s="30">
        <v>0</v>
      </c>
    </row>
    <row r="188" spans="2:13" x14ac:dyDescent="0.25">
      <c r="B188" s="27">
        <v>185</v>
      </c>
      <c r="C188" s="29">
        <v>36.657295614260406</v>
      </c>
      <c r="D188" s="29">
        <v>0</v>
      </c>
      <c r="E188" s="29">
        <v>129.76978591994279</v>
      </c>
      <c r="F188" s="29">
        <v>30.742953083739557</v>
      </c>
      <c r="G188" s="29">
        <v>0</v>
      </c>
      <c r="H188" s="29">
        <v>0</v>
      </c>
      <c r="I188" s="29">
        <v>60.436729991110141</v>
      </c>
      <c r="J188" s="29">
        <v>0</v>
      </c>
      <c r="K188" s="29">
        <v>31.309734387971528</v>
      </c>
      <c r="L188" s="30">
        <v>0</v>
      </c>
      <c r="M188" s="30">
        <v>0</v>
      </c>
    </row>
    <row r="189" spans="2:13" x14ac:dyDescent="0.25">
      <c r="B189" s="27">
        <v>186</v>
      </c>
      <c r="C189" s="29">
        <v>0</v>
      </c>
      <c r="D189" s="29">
        <v>0</v>
      </c>
      <c r="E189" s="29">
        <v>97.548039613074565</v>
      </c>
      <c r="F189" s="29">
        <v>49.881741463070469</v>
      </c>
      <c r="G189" s="29">
        <v>0</v>
      </c>
      <c r="H189" s="29">
        <v>0</v>
      </c>
      <c r="I189" s="29">
        <v>0</v>
      </c>
      <c r="J189" s="29">
        <v>0</v>
      </c>
      <c r="K189" s="29">
        <v>40.344788003033813</v>
      </c>
      <c r="L189" s="30">
        <v>0</v>
      </c>
      <c r="M189" s="30">
        <v>0</v>
      </c>
    </row>
    <row r="190" spans="2:13" x14ac:dyDescent="0.25">
      <c r="B190" s="27">
        <v>187</v>
      </c>
      <c r="C190" s="29">
        <v>33.287032781923529</v>
      </c>
      <c r="D190" s="29">
        <v>69.03965801243875</v>
      </c>
      <c r="E190" s="29">
        <v>0</v>
      </c>
      <c r="F190" s="29">
        <v>59.519009764367574</v>
      </c>
      <c r="G190" s="29">
        <v>0</v>
      </c>
      <c r="H190" s="29">
        <v>0</v>
      </c>
      <c r="I190" s="29">
        <v>0</v>
      </c>
      <c r="J190" s="29">
        <v>0</v>
      </c>
      <c r="K190" s="29">
        <v>52.891097814353131</v>
      </c>
      <c r="L190" s="30">
        <v>0</v>
      </c>
      <c r="M190" s="30">
        <v>0</v>
      </c>
    </row>
    <row r="191" spans="2:13" x14ac:dyDescent="0.25">
      <c r="B191" s="27">
        <v>188</v>
      </c>
      <c r="C191" s="29">
        <v>50.627195221923735</v>
      </c>
      <c r="D191" s="29">
        <v>0</v>
      </c>
      <c r="E191" s="29">
        <v>86.697854088111569</v>
      </c>
      <c r="F191" s="29">
        <v>24.049661202853652</v>
      </c>
      <c r="G191" s="29">
        <v>0</v>
      </c>
      <c r="H191" s="29">
        <v>48.142635238365685</v>
      </c>
      <c r="I191" s="29">
        <v>0</v>
      </c>
      <c r="J191" s="29">
        <v>0</v>
      </c>
      <c r="K191" s="29">
        <v>45.578874778440046</v>
      </c>
      <c r="L191" s="30">
        <v>0</v>
      </c>
      <c r="M191" s="30">
        <v>0</v>
      </c>
    </row>
    <row r="192" spans="2:13" x14ac:dyDescent="0.25">
      <c r="B192" s="27">
        <v>189</v>
      </c>
      <c r="C192" s="29">
        <v>49.68796837461295</v>
      </c>
      <c r="D192" s="29">
        <v>77.733624420291875</v>
      </c>
      <c r="E192" s="29">
        <v>106.2960911208807</v>
      </c>
      <c r="F192" s="29">
        <v>38.97807621923009</v>
      </c>
      <c r="G192" s="29">
        <v>0</v>
      </c>
      <c r="H192" s="29">
        <v>0</v>
      </c>
      <c r="I192" s="29">
        <v>0</v>
      </c>
      <c r="J192" s="29">
        <v>0</v>
      </c>
      <c r="K192" s="29">
        <v>0</v>
      </c>
      <c r="L192" s="30">
        <v>0</v>
      </c>
      <c r="M192" s="30">
        <v>0</v>
      </c>
    </row>
    <row r="193" spans="2:13" x14ac:dyDescent="0.25">
      <c r="B193" s="27">
        <v>190</v>
      </c>
      <c r="C193" s="29">
        <v>35.256150997034823</v>
      </c>
      <c r="D193" s="29">
        <v>67.534590200945843</v>
      </c>
      <c r="E193" s="29">
        <v>104.08932791764843</v>
      </c>
      <c r="F193" s="29">
        <v>57.859060441992838</v>
      </c>
      <c r="G193" s="29">
        <v>54.64002903781725</v>
      </c>
      <c r="H193" s="29">
        <v>0</v>
      </c>
      <c r="I193" s="29">
        <v>0</v>
      </c>
      <c r="J193" s="29">
        <v>0</v>
      </c>
      <c r="K193" s="29">
        <v>29.047780196465403</v>
      </c>
      <c r="L193" s="30">
        <v>0</v>
      </c>
      <c r="M193" s="30">
        <v>0</v>
      </c>
    </row>
    <row r="194" spans="2:13" x14ac:dyDescent="0.25">
      <c r="B194" s="27">
        <v>191</v>
      </c>
      <c r="C194" s="29">
        <v>57.728456844647312</v>
      </c>
      <c r="D194" s="29">
        <v>65.538641591252372</v>
      </c>
      <c r="E194" s="29">
        <v>108.00677021281393</v>
      </c>
      <c r="F194" s="29">
        <v>55.711569667808419</v>
      </c>
      <c r="G194" s="29">
        <v>0</v>
      </c>
      <c r="H194" s="29">
        <v>36.656653767248365</v>
      </c>
      <c r="I194" s="29">
        <v>0</v>
      </c>
      <c r="J194" s="29">
        <v>0</v>
      </c>
      <c r="K194" s="29">
        <v>0</v>
      </c>
      <c r="L194" s="30">
        <v>0</v>
      </c>
      <c r="M194" s="30">
        <v>0</v>
      </c>
    </row>
    <row r="195" spans="2:13" x14ac:dyDescent="0.25">
      <c r="B195" s="27">
        <v>192</v>
      </c>
      <c r="C195" s="29">
        <v>50.446589798833806</v>
      </c>
      <c r="D195" s="29">
        <v>64.053537550896692</v>
      </c>
      <c r="E195" s="29">
        <v>147.33849016663524</v>
      </c>
      <c r="F195" s="29">
        <v>39.9512546466107</v>
      </c>
      <c r="G195" s="29">
        <v>0</v>
      </c>
      <c r="H195" s="29">
        <v>0</v>
      </c>
      <c r="I195" s="29">
        <v>60.988691463069571</v>
      </c>
      <c r="J195" s="29">
        <v>0</v>
      </c>
      <c r="K195" s="29">
        <v>45.351938061601317</v>
      </c>
      <c r="L195" s="30">
        <v>0</v>
      </c>
      <c r="M195" s="30">
        <v>0</v>
      </c>
    </row>
    <row r="196" spans="2:13" x14ac:dyDescent="0.25">
      <c r="B196" s="27">
        <v>193</v>
      </c>
      <c r="C196" s="29">
        <v>45.551070814982367</v>
      </c>
      <c r="D196" s="29">
        <v>69.42150009090048</v>
      </c>
      <c r="E196" s="29">
        <v>87.381823239630521</v>
      </c>
      <c r="F196" s="29">
        <v>0</v>
      </c>
      <c r="G196" s="29">
        <v>0</v>
      </c>
      <c r="H196" s="29">
        <v>0</v>
      </c>
      <c r="I196" s="29">
        <v>32.670366708166554</v>
      </c>
      <c r="J196" s="29">
        <v>0</v>
      </c>
      <c r="K196" s="29">
        <v>45.357675403546743</v>
      </c>
      <c r="L196" s="30">
        <v>0</v>
      </c>
      <c r="M196" s="30">
        <v>0</v>
      </c>
    </row>
    <row r="197" spans="2:13" x14ac:dyDescent="0.25">
      <c r="B197" s="27">
        <v>194</v>
      </c>
      <c r="C197" s="29">
        <v>46.094581932581093</v>
      </c>
      <c r="D197" s="29">
        <v>76.46719161934071</v>
      </c>
      <c r="E197" s="29">
        <v>64.458508892659168</v>
      </c>
      <c r="F197" s="29">
        <v>58.958220192635679</v>
      </c>
      <c r="G197" s="29">
        <v>0</v>
      </c>
      <c r="H197" s="29">
        <v>0</v>
      </c>
      <c r="I197" s="29">
        <v>0</v>
      </c>
      <c r="J197" s="29">
        <v>0</v>
      </c>
      <c r="K197" s="29">
        <v>39.542064160053272</v>
      </c>
      <c r="L197" s="30">
        <v>0</v>
      </c>
      <c r="M197" s="30">
        <v>0</v>
      </c>
    </row>
    <row r="198" spans="2:13" x14ac:dyDescent="0.25">
      <c r="B198" s="27">
        <v>195</v>
      </c>
      <c r="C198" s="29">
        <v>29.807022218480586</v>
      </c>
      <c r="D198" s="29">
        <v>78.529560059851406</v>
      </c>
      <c r="E198" s="29">
        <v>69.850444456791536</v>
      </c>
      <c r="F198" s="29">
        <v>32.48604112271515</v>
      </c>
      <c r="G198" s="29">
        <v>0</v>
      </c>
      <c r="H198" s="29">
        <v>0</v>
      </c>
      <c r="I198" s="29">
        <v>0</v>
      </c>
      <c r="J198" s="29">
        <v>0</v>
      </c>
      <c r="K198" s="29">
        <v>28.225265531950505</v>
      </c>
      <c r="L198" s="30">
        <v>64.34851807776441</v>
      </c>
      <c r="M198" s="30">
        <v>0</v>
      </c>
    </row>
    <row r="199" spans="2:13" x14ac:dyDescent="0.25">
      <c r="B199" s="27">
        <v>196</v>
      </c>
      <c r="C199" s="29">
        <v>42.431849501199238</v>
      </c>
      <c r="D199" s="29">
        <v>70.2225670772321</v>
      </c>
      <c r="E199" s="29">
        <v>117.17540190607718</v>
      </c>
      <c r="F199" s="29">
        <v>53.653051864710363</v>
      </c>
      <c r="G199" s="29">
        <v>41.34395263593094</v>
      </c>
      <c r="H199" s="29">
        <v>0</v>
      </c>
      <c r="I199" s="29">
        <v>0</v>
      </c>
      <c r="J199" s="29">
        <v>0</v>
      </c>
      <c r="K199" s="29">
        <v>49.152764592692371</v>
      </c>
      <c r="L199" s="30">
        <v>0</v>
      </c>
      <c r="M199" s="30">
        <v>0</v>
      </c>
    </row>
    <row r="200" spans="2:13" x14ac:dyDescent="0.25">
      <c r="B200" s="27">
        <v>197</v>
      </c>
      <c r="C200" s="29">
        <v>0</v>
      </c>
      <c r="D200" s="29">
        <v>56.802928949236765</v>
      </c>
      <c r="E200" s="29">
        <v>108.71215425029735</v>
      </c>
      <c r="F200" s="29">
        <v>0</v>
      </c>
      <c r="G200" s="29">
        <v>63.763424664141979</v>
      </c>
      <c r="H200" s="29">
        <v>0</v>
      </c>
      <c r="I200" s="29">
        <v>0</v>
      </c>
      <c r="J200" s="29">
        <v>0</v>
      </c>
      <c r="K200" s="29">
        <v>51.877832894512409</v>
      </c>
      <c r="L200" s="30">
        <v>0</v>
      </c>
      <c r="M200" s="30">
        <v>0</v>
      </c>
    </row>
    <row r="201" spans="2:13" x14ac:dyDescent="0.25">
      <c r="B201" s="27">
        <v>198</v>
      </c>
      <c r="C201" s="29">
        <v>50.526139171058816</v>
      </c>
      <c r="D201" s="29">
        <v>89.255287708452428</v>
      </c>
      <c r="E201" s="29">
        <v>0</v>
      </c>
      <c r="F201" s="29">
        <v>38.432104308261671</v>
      </c>
      <c r="G201" s="29">
        <v>0</v>
      </c>
      <c r="H201" s="29">
        <v>0</v>
      </c>
      <c r="I201" s="29">
        <v>0</v>
      </c>
      <c r="J201" s="29">
        <v>0</v>
      </c>
      <c r="K201" s="29">
        <v>56.465721186624123</v>
      </c>
      <c r="L201" s="30">
        <v>0</v>
      </c>
      <c r="M201" s="30">
        <v>0</v>
      </c>
    </row>
    <row r="202" spans="2:13" x14ac:dyDescent="0.25">
      <c r="B202" s="27">
        <v>199</v>
      </c>
      <c r="C202" s="29">
        <v>48.988148297388534</v>
      </c>
      <c r="D202" s="29">
        <v>63.521290093540131</v>
      </c>
      <c r="E202" s="29">
        <v>0</v>
      </c>
      <c r="F202" s="29">
        <v>0</v>
      </c>
      <c r="G202" s="29">
        <v>0</v>
      </c>
      <c r="H202" s="29">
        <v>0</v>
      </c>
      <c r="I202" s="29">
        <v>0</v>
      </c>
      <c r="J202" s="29">
        <v>0</v>
      </c>
      <c r="K202" s="29">
        <v>60.121625996587461</v>
      </c>
      <c r="L202" s="30">
        <v>0</v>
      </c>
      <c r="M202" s="30">
        <v>0</v>
      </c>
    </row>
    <row r="203" spans="2:13" x14ac:dyDescent="0.25">
      <c r="B203" s="27">
        <v>200</v>
      </c>
      <c r="C203" s="29">
        <v>44.704647900122637</v>
      </c>
      <c r="D203" s="29">
        <v>81.975096185309184</v>
      </c>
      <c r="E203" s="29">
        <v>0</v>
      </c>
      <c r="F203" s="29">
        <v>50.780086177385499</v>
      </c>
      <c r="G203" s="29">
        <v>0</v>
      </c>
      <c r="H203" s="29">
        <v>0</v>
      </c>
      <c r="I203" s="29">
        <v>54.029394713994279</v>
      </c>
      <c r="J203" s="29">
        <v>0</v>
      </c>
      <c r="K203" s="29">
        <v>52.948816233036197</v>
      </c>
      <c r="L203" s="30">
        <v>0</v>
      </c>
      <c r="M203" s="30">
        <v>0</v>
      </c>
    </row>
    <row r="204" spans="2:13" x14ac:dyDescent="0.25">
      <c r="B204" s="27">
        <v>201</v>
      </c>
      <c r="C204" s="29">
        <v>50.323809627650434</v>
      </c>
      <c r="D204" s="29">
        <v>81.356118064490715</v>
      </c>
      <c r="E204" s="29">
        <v>0</v>
      </c>
      <c r="F204" s="29">
        <v>40.842732334022571</v>
      </c>
      <c r="G204" s="29">
        <v>0</v>
      </c>
      <c r="H204" s="29">
        <v>35.542459648196044</v>
      </c>
      <c r="I204" s="29">
        <v>0</v>
      </c>
      <c r="J204" s="29">
        <v>18.450693010456604</v>
      </c>
      <c r="K204" s="29">
        <v>50.927582317977041</v>
      </c>
      <c r="L204" s="30">
        <v>0</v>
      </c>
      <c r="M204" s="30">
        <v>0</v>
      </c>
    </row>
    <row r="205" spans="2:13" x14ac:dyDescent="0.25">
      <c r="B205" s="27">
        <v>202</v>
      </c>
      <c r="C205" s="29">
        <v>22.633275069864958</v>
      </c>
      <c r="D205" s="29">
        <v>74.522198648336683</v>
      </c>
      <c r="E205" s="29">
        <v>115.97395626725958</v>
      </c>
      <c r="F205" s="29">
        <v>58.853576608097356</v>
      </c>
      <c r="G205" s="29">
        <v>0</v>
      </c>
      <c r="H205" s="29">
        <v>0</v>
      </c>
      <c r="I205" s="29">
        <v>42.937410167738591</v>
      </c>
      <c r="J205" s="29">
        <v>0</v>
      </c>
      <c r="K205" s="29">
        <v>0</v>
      </c>
      <c r="L205" s="30">
        <v>0</v>
      </c>
      <c r="M205" s="30">
        <v>0</v>
      </c>
    </row>
    <row r="206" spans="2:13" x14ac:dyDescent="0.25">
      <c r="B206" s="27">
        <v>203</v>
      </c>
      <c r="C206" s="29">
        <v>44.68210197668396</v>
      </c>
      <c r="D206" s="29">
        <v>68.001296533764844</v>
      </c>
      <c r="E206" s="29">
        <v>106.90385207884381</v>
      </c>
      <c r="F206" s="29">
        <v>0</v>
      </c>
      <c r="G206" s="29">
        <v>0</v>
      </c>
      <c r="H206" s="29">
        <v>0</v>
      </c>
      <c r="I206" s="29">
        <v>58.676956331311871</v>
      </c>
      <c r="J206" s="29">
        <v>0</v>
      </c>
      <c r="K206" s="29">
        <v>55.678388922320543</v>
      </c>
      <c r="L206" s="30">
        <v>0</v>
      </c>
      <c r="M206" s="30">
        <v>0</v>
      </c>
    </row>
    <row r="207" spans="2:13" x14ac:dyDescent="0.25">
      <c r="B207" s="27">
        <v>204</v>
      </c>
      <c r="C207" s="29">
        <v>31.732612361592388</v>
      </c>
      <c r="D207" s="29">
        <v>63.503334272100432</v>
      </c>
      <c r="E207" s="29">
        <v>88.326708235380352</v>
      </c>
      <c r="F207" s="29">
        <v>0</v>
      </c>
      <c r="G207" s="29">
        <v>0</v>
      </c>
      <c r="H207" s="29">
        <v>0</v>
      </c>
      <c r="I207" s="29">
        <v>51.787572435383908</v>
      </c>
      <c r="J207" s="29">
        <v>0</v>
      </c>
      <c r="K207" s="29">
        <v>52.902648922236239</v>
      </c>
      <c r="L207" s="30">
        <v>0</v>
      </c>
      <c r="M207" s="30">
        <v>0</v>
      </c>
    </row>
    <row r="208" spans="2:13" x14ac:dyDescent="0.25">
      <c r="B208" s="27">
        <v>205</v>
      </c>
      <c r="C208" s="29">
        <v>44.776930674554087</v>
      </c>
      <c r="D208" s="29">
        <v>66.906429023335605</v>
      </c>
      <c r="E208" s="29">
        <v>106.94049785661218</v>
      </c>
      <c r="F208" s="29">
        <v>51.972966515511018</v>
      </c>
      <c r="G208" s="29">
        <v>0</v>
      </c>
      <c r="H208" s="29">
        <v>52.620136273990674</v>
      </c>
      <c r="I208" s="29">
        <v>0</v>
      </c>
      <c r="J208" s="29">
        <v>32.063296697672072</v>
      </c>
      <c r="K208" s="29">
        <v>0</v>
      </c>
      <c r="L208" s="30">
        <v>0</v>
      </c>
      <c r="M208" s="30">
        <v>0</v>
      </c>
    </row>
    <row r="209" spans="2:13" x14ac:dyDescent="0.25">
      <c r="B209" s="27">
        <v>206</v>
      </c>
      <c r="C209" s="29">
        <v>46.504561019695821</v>
      </c>
      <c r="D209" s="29">
        <v>81.759993115236782</v>
      </c>
      <c r="E209" s="29">
        <v>123.75566529097517</v>
      </c>
      <c r="F209" s="29">
        <v>0</v>
      </c>
      <c r="G209" s="29">
        <v>0</v>
      </c>
      <c r="H209" s="29">
        <v>31.658502014103718</v>
      </c>
      <c r="I209" s="29">
        <v>0</v>
      </c>
      <c r="J209" s="29">
        <v>0</v>
      </c>
      <c r="K209" s="29">
        <v>53.573380824047618</v>
      </c>
      <c r="L209" s="30">
        <v>0</v>
      </c>
      <c r="M209" s="30">
        <v>0</v>
      </c>
    </row>
    <row r="210" spans="2:13" x14ac:dyDescent="0.25">
      <c r="B210" s="27">
        <v>207</v>
      </c>
      <c r="C210" s="29">
        <v>44.060241056430947</v>
      </c>
      <c r="D210" s="29">
        <v>0</v>
      </c>
      <c r="E210" s="29">
        <v>0</v>
      </c>
      <c r="F210" s="29">
        <v>65.042832324568508</v>
      </c>
      <c r="G210" s="29">
        <v>0</v>
      </c>
      <c r="H210" s="29">
        <v>28.949189624563861</v>
      </c>
      <c r="I210" s="29">
        <v>0</v>
      </c>
      <c r="J210" s="29">
        <v>0</v>
      </c>
      <c r="K210" s="29">
        <v>53.331083339240919</v>
      </c>
      <c r="L210" s="30">
        <v>0</v>
      </c>
      <c r="M210" s="30">
        <v>0</v>
      </c>
    </row>
    <row r="211" spans="2:13" x14ac:dyDescent="0.25">
      <c r="B211" s="27">
        <v>208</v>
      </c>
      <c r="C211" s="29">
        <v>41.785773867506961</v>
      </c>
      <c r="D211" s="29">
        <v>72.734123484986057</v>
      </c>
      <c r="E211" s="29">
        <v>76.561552272729202</v>
      </c>
      <c r="F211" s="29">
        <v>57.326851032899214</v>
      </c>
      <c r="G211" s="29">
        <v>0</v>
      </c>
      <c r="H211" s="29">
        <v>0</v>
      </c>
      <c r="I211" s="29">
        <v>0</v>
      </c>
      <c r="J211" s="29">
        <v>0</v>
      </c>
      <c r="K211" s="29">
        <v>43.462769287992941</v>
      </c>
      <c r="L211" s="30">
        <v>0</v>
      </c>
      <c r="M211" s="30">
        <v>0</v>
      </c>
    </row>
    <row r="212" spans="2:13" x14ac:dyDescent="0.25">
      <c r="B212" s="27">
        <v>209</v>
      </c>
      <c r="C212" s="29">
        <v>44.664658520055987</v>
      </c>
      <c r="D212" s="29">
        <v>71.544559765911629</v>
      </c>
      <c r="E212" s="29">
        <v>66.844794480634462</v>
      </c>
      <c r="F212" s="29">
        <v>51.698161665946699</v>
      </c>
      <c r="G212" s="29">
        <v>0</v>
      </c>
      <c r="H212" s="29">
        <v>0</v>
      </c>
      <c r="I212" s="29">
        <v>28.869114731407251</v>
      </c>
      <c r="J212" s="29">
        <v>0</v>
      </c>
      <c r="K212" s="29">
        <v>50.914676176204786</v>
      </c>
      <c r="L212" s="30">
        <v>0</v>
      </c>
      <c r="M212" s="30">
        <v>0</v>
      </c>
    </row>
    <row r="213" spans="2:13" x14ac:dyDescent="0.25">
      <c r="B213" s="27">
        <v>210</v>
      </c>
      <c r="C213" s="29">
        <v>56.815895691376511</v>
      </c>
      <c r="D213" s="29">
        <v>70.431009584006063</v>
      </c>
      <c r="E213" s="29">
        <v>0</v>
      </c>
      <c r="F213" s="29">
        <v>51.977272214919225</v>
      </c>
      <c r="G213" s="29">
        <v>0</v>
      </c>
      <c r="H213" s="29">
        <v>0</v>
      </c>
      <c r="I213" s="29">
        <v>0</v>
      </c>
      <c r="J213" s="29">
        <v>50.480869661029345</v>
      </c>
      <c r="K213" s="29">
        <v>50.378371223872186</v>
      </c>
      <c r="L213" s="30">
        <v>0</v>
      </c>
      <c r="M213" s="30">
        <v>0</v>
      </c>
    </row>
    <row r="214" spans="2:13" x14ac:dyDescent="0.25">
      <c r="B214" s="27">
        <v>211</v>
      </c>
      <c r="C214" s="29">
        <v>48.481755513036482</v>
      </c>
      <c r="D214" s="29">
        <v>72.108928897630051</v>
      </c>
      <c r="E214" s="29">
        <v>85.237939959009893</v>
      </c>
      <c r="F214" s="29">
        <v>33.840707444590159</v>
      </c>
      <c r="G214" s="29">
        <v>0</v>
      </c>
      <c r="H214" s="29">
        <v>0</v>
      </c>
      <c r="I214" s="29">
        <v>49.732382780631276</v>
      </c>
      <c r="J214" s="29">
        <v>0</v>
      </c>
      <c r="K214" s="29">
        <v>49.059720657687791</v>
      </c>
      <c r="L214" s="30">
        <v>0</v>
      </c>
      <c r="M214" s="30">
        <v>0</v>
      </c>
    </row>
    <row r="215" spans="2:13" x14ac:dyDescent="0.25">
      <c r="B215" s="27">
        <v>212</v>
      </c>
      <c r="C215" s="29">
        <v>60.137142589505302</v>
      </c>
      <c r="D215" s="29">
        <v>0</v>
      </c>
      <c r="E215" s="29">
        <v>128.90325128497599</v>
      </c>
      <c r="F215" s="29">
        <v>41.337285205224262</v>
      </c>
      <c r="G215" s="29">
        <v>0</v>
      </c>
      <c r="H215" s="29">
        <v>46.338418641238782</v>
      </c>
      <c r="I215" s="29">
        <v>0</v>
      </c>
      <c r="J215" s="29">
        <v>0</v>
      </c>
      <c r="K215" s="29">
        <v>0</v>
      </c>
      <c r="L215" s="30">
        <v>0</v>
      </c>
      <c r="M215" s="30">
        <v>0</v>
      </c>
    </row>
    <row r="216" spans="2:13" x14ac:dyDescent="0.25">
      <c r="B216" s="27">
        <v>213</v>
      </c>
      <c r="C216" s="29">
        <v>58.697697219900519</v>
      </c>
      <c r="D216" s="29">
        <v>84.016567447521425</v>
      </c>
      <c r="E216" s="29">
        <v>94.133716761711355</v>
      </c>
      <c r="F216" s="29">
        <v>41.45140101289153</v>
      </c>
      <c r="G216" s="29">
        <v>0</v>
      </c>
      <c r="H216" s="29">
        <v>0</v>
      </c>
      <c r="I216" s="29">
        <v>0</v>
      </c>
      <c r="J216" s="29">
        <v>0</v>
      </c>
      <c r="K216" s="29">
        <v>39.162221009950152</v>
      </c>
      <c r="L216" s="30">
        <v>0</v>
      </c>
      <c r="M216" s="30">
        <v>0</v>
      </c>
    </row>
    <row r="217" spans="2:13" x14ac:dyDescent="0.25">
      <c r="B217" s="27">
        <v>214</v>
      </c>
      <c r="C217" s="29">
        <v>50.206040477388427</v>
      </c>
      <c r="D217" s="29">
        <v>74.026371684863193</v>
      </c>
      <c r="E217" s="29">
        <v>127.61467218748135</v>
      </c>
      <c r="F217" s="29">
        <v>0</v>
      </c>
      <c r="G217" s="29">
        <v>0</v>
      </c>
      <c r="H217" s="29">
        <v>50.713624652247987</v>
      </c>
      <c r="I217" s="29">
        <v>0</v>
      </c>
      <c r="J217" s="29">
        <v>17.158310476022503</v>
      </c>
      <c r="K217" s="29">
        <v>46.612081945658851</v>
      </c>
      <c r="L217" s="30">
        <v>0</v>
      </c>
      <c r="M217" s="30">
        <v>0</v>
      </c>
    </row>
    <row r="218" spans="2:13" x14ac:dyDescent="0.25">
      <c r="B218" s="27">
        <v>215</v>
      </c>
      <c r="C218" s="29">
        <v>40.650362985960484</v>
      </c>
      <c r="D218" s="29">
        <v>64.832361830095806</v>
      </c>
      <c r="E218" s="29">
        <v>112.34537411710946</v>
      </c>
      <c r="F218" s="29">
        <v>0</v>
      </c>
      <c r="G218" s="29">
        <v>54.790579883042483</v>
      </c>
      <c r="H218" s="29">
        <v>0</v>
      </c>
      <c r="I218" s="29">
        <v>0</v>
      </c>
      <c r="J218" s="29">
        <v>26.485780681316353</v>
      </c>
      <c r="K218" s="29">
        <v>48.593765706481172</v>
      </c>
      <c r="L218" s="30">
        <v>0</v>
      </c>
      <c r="M218" s="30">
        <v>0</v>
      </c>
    </row>
    <row r="219" spans="2:13" x14ac:dyDescent="0.25">
      <c r="B219" s="27">
        <v>216</v>
      </c>
      <c r="C219" s="29">
        <v>30.784718790811556</v>
      </c>
      <c r="D219" s="29">
        <v>89.084776454718565</v>
      </c>
      <c r="E219" s="29">
        <v>101.75485170779379</v>
      </c>
      <c r="F219" s="29">
        <v>32.491618738972605</v>
      </c>
      <c r="G219" s="29">
        <v>0</v>
      </c>
      <c r="H219" s="29">
        <v>0</v>
      </c>
      <c r="I219" s="29">
        <v>0</v>
      </c>
      <c r="J219" s="29">
        <v>35.098399847328494</v>
      </c>
      <c r="K219" s="29">
        <v>53.088391367406217</v>
      </c>
      <c r="L219" s="30">
        <v>0</v>
      </c>
      <c r="M219" s="30">
        <v>0</v>
      </c>
    </row>
    <row r="220" spans="2:13" x14ac:dyDescent="0.25">
      <c r="B220" s="27">
        <v>217</v>
      </c>
      <c r="C220" s="29">
        <v>52.116986641966605</v>
      </c>
      <c r="D220" s="29">
        <v>82.760738616351304</v>
      </c>
      <c r="E220" s="29">
        <v>76.479407186946943</v>
      </c>
      <c r="F220" s="29">
        <v>55.109550477769176</v>
      </c>
      <c r="G220" s="29">
        <v>0</v>
      </c>
      <c r="H220" s="29">
        <v>0</v>
      </c>
      <c r="I220" s="29">
        <v>0</v>
      </c>
      <c r="J220" s="29">
        <v>0</v>
      </c>
      <c r="K220" s="29">
        <v>32.055622470758756</v>
      </c>
      <c r="L220" s="30">
        <v>34.836797388189055</v>
      </c>
      <c r="M220" s="30">
        <v>0</v>
      </c>
    </row>
    <row r="221" spans="2:13" x14ac:dyDescent="0.25">
      <c r="B221" s="27">
        <v>218</v>
      </c>
      <c r="C221" s="29">
        <v>0</v>
      </c>
      <c r="D221" s="29">
        <v>57.564965950388896</v>
      </c>
      <c r="E221" s="29">
        <v>0</v>
      </c>
      <c r="F221" s="29">
        <v>23.79104113414688</v>
      </c>
      <c r="G221" s="29">
        <v>0</v>
      </c>
      <c r="H221" s="29">
        <v>0</v>
      </c>
      <c r="I221" s="29">
        <v>24.933242684197843</v>
      </c>
      <c r="J221" s="29">
        <v>0</v>
      </c>
      <c r="K221" s="29">
        <v>0</v>
      </c>
      <c r="L221" s="30">
        <v>0</v>
      </c>
      <c r="M221" s="30">
        <v>0</v>
      </c>
    </row>
    <row r="222" spans="2:13" x14ac:dyDescent="0.25">
      <c r="B222" s="27">
        <v>219</v>
      </c>
      <c r="C222" s="29">
        <v>58.768431851541806</v>
      </c>
      <c r="D222" s="29">
        <v>0</v>
      </c>
      <c r="E222" s="29">
        <v>78.298794706197413</v>
      </c>
      <c r="F222" s="29">
        <v>30.117007819603511</v>
      </c>
      <c r="G222" s="29">
        <v>0</v>
      </c>
      <c r="H222" s="29">
        <v>29.003021968009907</v>
      </c>
      <c r="I222" s="29">
        <v>0</v>
      </c>
      <c r="J222" s="29">
        <v>29.221544168868292</v>
      </c>
      <c r="K222" s="29">
        <v>29.732775729333458</v>
      </c>
      <c r="L222" s="30">
        <v>0</v>
      </c>
      <c r="M222" s="30">
        <v>0</v>
      </c>
    </row>
    <row r="223" spans="2:13" x14ac:dyDescent="0.25">
      <c r="B223" s="27">
        <v>220</v>
      </c>
      <c r="C223" s="29">
        <v>60.746189313228207</v>
      </c>
      <c r="D223" s="29">
        <v>60.476647003527837</v>
      </c>
      <c r="E223" s="29">
        <v>0</v>
      </c>
      <c r="F223" s="29">
        <v>0</v>
      </c>
      <c r="G223" s="29">
        <v>0</v>
      </c>
      <c r="H223" s="29">
        <v>0</v>
      </c>
      <c r="I223" s="29">
        <v>0</v>
      </c>
      <c r="J223" s="29">
        <v>0</v>
      </c>
      <c r="K223" s="29">
        <v>0</v>
      </c>
      <c r="L223" s="30">
        <v>21.154183131775383</v>
      </c>
      <c r="M223" s="30">
        <v>0</v>
      </c>
    </row>
    <row r="224" spans="2:13" x14ac:dyDescent="0.25">
      <c r="B224" s="27">
        <v>221</v>
      </c>
      <c r="C224" s="29">
        <v>25.283276405914087</v>
      </c>
      <c r="D224" s="29">
        <v>61.767344425747204</v>
      </c>
      <c r="E224" s="29">
        <v>94.136303655465156</v>
      </c>
      <c r="F224" s="29">
        <v>33.66358287755908</v>
      </c>
      <c r="G224" s="29">
        <v>0</v>
      </c>
      <c r="H224" s="29">
        <v>0</v>
      </c>
      <c r="I224" s="29">
        <v>0</v>
      </c>
      <c r="J224" s="29">
        <v>0</v>
      </c>
      <c r="K224" s="29">
        <v>46.609213650076043</v>
      </c>
      <c r="L224" s="30">
        <v>0</v>
      </c>
      <c r="M224" s="30">
        <v>0</v>
      </c>
    </row>
    <row r="225" spans="2:13" x14ac:dyDescent="0.25">
      <c r="B225" s="27">
        <v>222</v>
      </c>
      <c r="C225" s="29">
        <v>27.833472022355224</v>
      </c>
      <c r="D225" s="29">
        <v>82.649329116893028</v>
      </c>
      <c r="E225" s="29">
        <v>0</v>
      </c>
      <c r="F225" s="29">
        <v>0</v>
      </c>
      <c r="G225" s="29">
        <v>0</v>
      </c>
      <c r="H225" s="29">
        <v>41.224819282615144</v>
      </c>
      <c r="I225" s="29">
        <v>0</v>
      </c>
      <c r="J225" s="29">
        <v>0</v>
      </c>
      <c r="K225" s="29">
        <v>26.018206839760328</v>
      </c>
      <c r="L225" s="30">
        <v>0</v>
      </c>
      <c r="M225" s="30">
        <v>0</v>
      </c>
    </row>
    <row r="226" spans="2:13" x14ac:dyDescent="0.25">
      <c r="B226" s="27">
        <v>223</v>
      </c>
      <c r="C226" s="29">
        <v>56.158873324789916</v>
      </c>
      <c r="D226" s="29">
        <v>63.866554512639155</v>
      </c>
      <c r="E226" s="29">
        <v>98.376858091848902</v>
      </c>
      <c r="F226" s="29">
        <v>47.949044625751881</v>
      </c>
      <c r="G226" s="29">
        <v>0</v>
      </c>
      <c r="H226" s="29">
        <v>50.726981216143038</v>
      </c>
      <c r="I226" s="29">
        <v>23.272541398713983</v>
      </c>
      <c r="J226" s="29">
        <v>0</v>
      </c>
      <c r="K226" s="29">
        <v>0</v>
      </c>
      <c r="L226" s="30">
        <v>0</v>
      </c>
      <c r="M226" s="30">
        <v>0</v>
      </c>
    </row>
    <row r="227" spans="2:13" x14ac:dyDescent="0.25">
      <c r="B227" s="27">
        <v>224</v>
      </c>
      <c r="C227" s="29">
        <v>0</v>
      </c>
      <c r="D227" s="29">
        <v>58.738512332430041</v>
      </c>
      <c r="E227" s="29">
        <v>103.55975539193153</v>
      </c>
      <c r="F227" s="29">
        <v>0</v>
      </c>
      <c r="G227" s="29">
        <v>0</v>
      </c>
      <c r="H227" s="29">
        <v>0</v>
      </c>
      <c r="I227" s="29">
        <v>55.286616814061034</v>
      </c>
      <c r="J227" s="29">
        <v>0</v>
      </c>
      <c r="K227" s="29">
        <v>0</v>
      </c>
      <c r="L227" s="30">
        <v>0</v>
      </c>
      <c r="M227" s="30">
        <v>0</v>
      </c>
    </row>
    <row r="228" spans="2:13" x14ac:dyDescent="0.25">
      <c r="B228" s="27">
        <v>225</v>
      </c>
      <c r="C228" s="29">
        <v>31.078482551449241</v>
      </c>
      <c r="D228" s="29">
        <v>54.862358670436009</v>
      </c>
      <c r="E228" s="29">
        <v>102.44238682524202</v>
      </c>
      <c r="F228" s="29">
        <v>56.426252997927826</v>
      </c>
      <c r="G228" s="29">
        <v>0</v>
      </c>
      <c r="H228" s="29">
        <v>0</v>
      </c>
      <c r="I228" s="29">
        <v>43.580550949267995</v>
      </c>
      <c r="J228" s="29">
        <v>40.075139607430415</v>
      </c>
      <c r="K228" s="29">
        <v>46.768760906257945</v>
      </c>
      <c r="L228" s="30">
        <v>0</v>
      </c>
      <c r="M228" s="30">
        <v>0</v>
      </c>
    </row>
    <row r="229" spans="2:13" x14ac:dyDescent="0.25">
      <c r="B229" s="27">
        <v>226</v>
      </c>
      <c r="C229" s="29">
        <v>35.899471909149113</v>
      </c>
      <c r="D229" s="29">
        <v>63.334803122460258</v>
      </c>
      <c r="E229" s="29">
        <v>105.22079887528501</v>
      </c>
      <c r="F229" s="29">
        <v>0</v>
      </c>
      <c r="G229" s="29">
        <v>0</v>
      </c>
      <c r="H229" s="29">
        <v>0</v>
      </c>
      <c r="I229" s="29">
        <v>0</v>
      </c>
      <c r="J229" s="29">
        <v>0</v>
      </c>
      <c r="K229" s="29">
        <v>41.16875154049356</v>
      </c>
      <c r="L229" s="30">
        <v>49.229154305835188</v>
      </c>
      <c r="M229" s="30">
        <v>0</v>
      </c>
    </row>
    <row r="230" spans="2:13" x14ac:dyDescent="0.25">
      <c r="B230" s="27">
        <v>227</v>
      </c>
      <c r="C230" s="29">
        <v>31.511428481222467</v>
      </c>
      <c r="D230" s="29">
        <v>0</v>
      </c>
      <c r="E230" s="29">
        <v>129.6976729227645</v>
      </c>
      <c r="F230" s="29">
        <v>45.723417591510234</v>
      </c>
      <c r="G230" s="29">
        <v>48.774189764662211</v>
      </c>
      <c r="H230" s="29">
        <v>0</v>
      </c>
      <c r="I230" s="29">
        <v>0</v>
      </c>
      <c r="J230" s="29">
        <v>0</v>
      </c>
      <c r="K230" s="29">
        <v>47.512174300358346</v>
      </c>
      <c r="L230" s="30">
        <v>0</v>
      </c>
      <c r="M230" s="30">
        <v>0</v>
      </c>
    </row>
    <row r="231" spans="2:13" x14ac:dyDescent="0.25">
      <c r="B231" s="27">
        <v>228</v>
      </c>
      <c r="C231" s="29">
        <v>19.192394564289387</v>
      </c>
      <c r="D231" s="29">
        <v>78.14654730600833</v>
      </c>
      <c r="E231" s="29">
        <v>62.143812305788622</v>
      </c>
      <c r="F231" s="29">
        <v>0</v>
      </c>
      <c r="G231" s="29">
        <v>0</v>
      </c>
      <c r="H231" s="29">
        <v>0</v>
      </c>
      <c r="I231" s="29">
        <v>0</v>
      </c>
      <c r="J231" s="29">
        <v>0</v>
      </c>
      <c r="K231" s="29">
        <v>0</v>
      </c>
      <c r="L231" s="30">
        <v>0</v>
      </c>
      <c r="M231" s="30">
        <v>0</v>
      </c>
    </row>
    <row r="232" spans="2:13" x14ac:dyDescent="0.25">
      <c r="B232" s="27">
        <v>229</v>
      </c>
      <c r="C232" s="29">
        <v>51.342444462094889</v>
      </c>
      <c r="D232" s="29">
        <v>0</v>
      </c>
      <c r="E232" s="29">
        <v>97.916003204406735</v>
      </c>
      <c r="F232" s="29">
        <v>26.561790474085196</v>
      </c>
      <c r="G232" s="29">
        <v>0</v>
      </c>
      <c r="H232" s="29">
        <v>0</v>
      </c>
      <c r="I232" s="29">
        <v>0</v>
      </c>
      <c r="J232" s="29">
        <v>0</v>
      </c>
      <c r="K232" s="29">
        <v>57.671197121489541</v>
      </c>
      <c r="L232" s="30">
        <v>0</v>
      </c>
      <c r="M232" s="30">
        <v>0</v>
      </c>
    </row>
    <row r="233" spans="2:13" x14ac:dyDescent="0.25">
      <c r="B233" s="27">
        <v>230</v>
      </c>
      <c r="C233" s="29">
        <v>0</v>
      </c>
      <c r="D233" s="29">
        <v>80.149556313618234</v>
      </c>
      <c r="E233" s="29">
        <v>115.64100544831794</v>
      </c>
      <c r="F233" s="29">
        <v>0</v>
      </c>
      <c r="G233" s="29">
        <v>0</v>
      </c>
      <c r="H233" s="29">
        <v>58.690419842780834</v>
      </c>
      <c r="I233" s="29">
        <v>35.34385107827292</v>
      </c>
      <c r="J233" s="29">
        <v>0</v>
      </c>
      <c r="K233" s="29">
        <v>0</v>
      </c>
      <c r="L233" s="30">
        <v>0</v>
      </c>
      <c r="M233" s="30">
        <v>0</v>
      </c>
    </row>
    <row r="234" spans="2:13" x14ac:dyDescent="0.25">
      <c r="B234" s="27">
        <v>231</v>
      </c>
      <c r="C234" s="29">
        <v>35.180527446795452</v>
      </c>
      <c r="D234" s="29">
        <v>59.018932658386731</v>
      </c>
      <c r="E234" s="29">
        <v>123.30833628228856</v>
      </c>
      <c r="F234" s="29">
        <v>54.644891738941503</v>
      </c>
      <c r="G234" s="29">
        <v>0</v>
      </c>
      <c r="H234" s="29">
        <v>0</v>
      </c>
      <c r="I234" s="29">
        <v>52.994734687273535</v>
      </c>
      <c r="J234" s="29">
        <v>0</v>
      </c>
      <c r="K234" s="29">
        <v>64.583440972061666</v>
      </c>
      <c r="L234" s="30">
        <v>54.48409514988176</v>
      </c>
      <c r="M234" s="30">
        <v>0</v>
      </c>
    </row>
    <row r="235" spans="2:13" x14ac:dyDescent="0.25">
      <c r="B235" s="27">
        <v>232</v>
      </c>
      <c r="C235" s="29">
        <v>51.443402547453559</v>
      </c>
      <c r="D235" s="29">
        <v>72.461651446009796</v>
      </c>
      <c r="E235" s="29">
        <v>73.236340594866306</v>
      </c>
      <c r="F235" s="29">
        <v>0</v>
      </c>
      <c r="G235" s="29">
        <v>0</v>
      </c>
      <c r="H235" s="29">
        <v>0</v>
      </c>
      <c r="I235" s="29">
        <v>0</v>
      </c>
      <c r="J235" s="29">
        <v>0</v>
      </c>
      <c r="K235" s="29">
        <v>49.6420203942955</v>
      </c>
      <c r="L235" s="30">
        <v>52.180102046822398</v>
      </c>
      <c r="M235" s="30">
        <v>0</v>
      </c>
    </row>
    <row r="236" spans="2:13" x14ac:dyDescent="0.25">
      <c r="B236" s="27">
        <v>233</v>
      </c>
      <c r="C236" s="29">
        <v>45.489179613871954</v>
      </c>
      <c r="D236" s="29">
        <v>60.966070734126134</v>
      </c>
      <c r="E236" s="29">
        <v>108.26726337168728</v>
      </c>
      <c r="F236" s="29">
        <v>47.626665725965346</v>
      </c>
      <c r="G236" s="29">
        <v>0</v>
      </c>
      <c r="H236" s="29">
        <v>0</v>
      </c>
      <c r="I236" s="29">
        <v>55.734889878987175</v>
      </c>
      <c r="J236" s="29">
        <v>40.402094463041458</v>
      </c>
      <c r="K236" s="29">
        <v>43.320427773019183</v>
      </c>
      <c r="L236" s="30">
        <v>0</v>
      </c>
      <c r="M236" s="30">
        <v>0</v>
      </c>
    </row>
    <row r="237" spans="2:13" x14ac:dyDescent="0.25">
      <c r="B237" s="27">
        <v>234</v>
      </c>
      <c r="C237" s="29">
        <v>55.803835061186639</v>
      </c>
      <c r="D237" s="29">
        <v>60.125185854648855</v>
      </c>
      <c r="E237" s="29">
        <v>102.80088636539304</v>
      </c>
      <c r="F237" s="29">
        <v>0</v>
      </c>
      <c r="G237" s="29">
        <v>0</v>
      </c>
      <c r="H237" s="29">
        <v>0</v>
      </c>
      <c r="I237" s="29">
        <v>0</v>
      </c>
      <c r="J237" s="29">
        <v>0</v>
      </c>
      <c r="K237" s="29">
        <v>48.575411680873515</v>
      </c>
      <c r="L237" s="30">
        <v>0</v>
      </c>
      <c r="M237" s="30">
        <v>0</v>
      </c>
    </row>
    <row r="238" spans="2:13" x14ac:dyDescent="0.25">
      <c r="B238" s="27">
        <v>235</v>
      </c>
      <c r="C238" s="29">
        <v>0</v>
      </c>
      <c r="D238" s="29">
        <v>75.04743864180233</v>
      </c>
      <c r="E238" s="29">
        <v>65.670751721346647</v>
      </c>
      <c r="F238" s="29">
        <v>51.104189540289518</v>
      </c>
      <c r="G238" s="29">
        <v>40.135649834792382</v>
      </c>
      <c r="H238" s="29">
        <v>0</v>
      </c>
      <c r="I238" s="29">
        <v>0</v>
      </c>
      <c r="J238" s="29">
        <v>0</v>
      </c>
      <c r="K238" s="29">
        <v>51.565005457762311</v>
      </c>
      <c r="L238" s="30">
        <v>0</v>
      </c>
      <c r="M238" s="30">
        <v>0</v>
      </c>
    </row>
    <row r="239" spans="2:13" x14ac:dyDescent="0.25">
      <c r="B239" s="27">
        <v>236</v>
      </c>
      <c r="C239" s="29">
        <v>43.362936124027947</v>
      </c>
      <c r="D239" s="29">
        <v>87.258672871107791</v>
      </c>
      <c r="E239" s="29">
        <v>0</v>
      </c>
      <c r="F239" s="29">
        <v>44.424060025245787</v>
      </c>
      <c r="G239" s="29">
        <v>0</v>
      </c>
      <c r="H239" s="29">
        <v>0</v>
      </c>
      <c r="I239" s="29">
        <v>0</v>
      </c>
      <c r="J239" s="29">
        <v>0</v>
      </c>
      <c r="K239" s="29">
        <v>24.728094101890335</v>
      </c>
      <c r="L239" s="30">
        <v>0</v>
      </c>
      <c r="M239" s="30">
        <v>0</v>
      </c>
    </row>
    <row r="240" spans="2:13" x14ac:dyDescent="0.25">
      <c r="B240" s="27">
        <v>237</v>
      </c>
      <c r="C240" s="29">
        <v>21.334726821398949</v>
      </c>
      <c r="D240" s="29">
        <v>66.660663824767852</v>
      </c>
      <c r="E240" s="29">
        <v>137.41124088605699</v>
      </c>
      <c r="F240" s="29">
        <v>41.746690532584019</v>
      </c>
      <c r="G240" s="29">
        <v>0</v>
      </c>
      <c r="H240" s="29">
        <v>0</v>
      </c>
      <c r="I240" s="29">
        <v>36.529097370186875</v>
      </c>
      <c r="J240" s="29">
        <v>0</v>
      </c>
      <c r="K240" s="29">
        <v>43.822383233264461</v>
      </c>
      <c r="L240" s="30">
        <v>0</v>
      </c>
      <c r="M240" s="30">
        <v>0</v>
      </c>
    </row>
    <row r="241" spans="2:13" x14ac:dyDescent="0.25">
      <c r="B241" s="27">
        <v>238</v>
      </c>
      <c r="C241" s="29">
        <v>50.081961793249036</v>
      </c>
      <c r="D241" s="29">
        <v>0</v>
      </c>
      <c r="E241" s="29">
        <v>0</v>
      </c>
      <c r="F241" s="29">
        <v>52.475499587444375</v>
      </c>
      <c r="G241" s="29">
        <v>49.934244318190828</v>
      </c>
      <c r="H241" s="29">
        <v>0</v>
      </c>
      <c r="I241" s="29">
        <v>42.99413020983814</v>
      </c>
      <c r="J241" s="29">
        <v>0</v>
      </c>
      <c r="K241" s="29">
        <v>25.227269591616235</v>
      </c>
      <c r="L241" s="30">
        <v>0</v>
      </c>
      <c r="M241" s="30">
        <v>0</v>
      </c>
    </row>
    <row r="242" spans="2:13" x14ac:dyDescent="0.25">
      <c r="B242" s="27">
        <v>239</v>
      </c>
      <c r="C242" s="29">
        <v>0</v>
      </c>
      <c r="D242" s="29">
        <v>75.001175134355265</v>
      </c>
      <c r="E242" s="29">
        <v>84.668238218367705</v>
      </c>
      <c r="F242" s="29">
        <v>48.944831012955213</v>
      </c>
      <c r="G242" s="29">
        <v>0</v>
      </c>
      <c r="H242" s="29">
        <v>0</v>
      </c>
      <c r="I242" s="29">
        <v>48.113325602015948</v>
      </c>
      <c r="J242" s="29">
        <v>0</v>
      </c>
      <c r="K242" s="29">
        <v>0</v>
      </c>
      <c r="L242" s="30">
        <v>0</v>
      </c>
      <c r="M242" s="30">
        <v>0</v>
      </c>
    </row>
    <row r="243" spans="2:13" x14ac:dyDescent="0.25">
      <c r="B243" s="27">
        <v>240</v>
      </c>
      <c r="C243" s="29">
        <v>11.031698443944077</v>
      </c>
      <c r="D243" s="29">
        <v>77.615430292449531</v>
      </c>
      <c r="E243" s="29">
        <v>80.453065380989244</v>
      </c>
      <c r="F243" s="29">
        <v>34.46406257127822</v>
      </c>
      <c r="G243" s="29">
        <v>0</v>
      </c>
      <c r="H243" s="29">
        <v>0</v>
      </c>
      <c r="I243" s="29">
        <v>0</v>
      </c>
      <c r="J243" s="29">
        <v>0</v>
      </c>
      <c r="K243" s="29">
        <v>36.088189952860844</v>
      </c>
      <c r="L243" s="30">
        <v>49.448887977292109</v>
      </c>
      <c r="M243" s="30">
        <v>0</v>
      </c>
    </row>
    <row r="244" spans="2:13" x14ac:dyDescent="0.25">
      <c r="B244" s="27">
        <v>241</v>
      </c>
      <c r="C244" s="29">
        <v>0</v>
      </c>
      <c r="D244" s="29">
        <v>77.147434913056216</v>
      </c>
      <c r="E244" s="29">
        <v>75.262438637233842</v>
      </c>
      <c r="F244" s="29">
        <v>0</v>
      </c>
      <c r="G244" s="29">
        <v>0</v>
      </c>
      <c r="H244" s="29">
        <v>0</v>
      </c>
      <c r="I244" s="29">
        <v>0</v>
      </c>
      <c r="J244" s="29">
        <v>24.54742779286476</v>
      </c>
      <c r="K244" s="29">
        <v>23.585289615182639</v>
      </c>
      <c r="L244" s="30">
        <v>39.688447012363852</v>
      </c>
      <c r="M244" s="30">
        <v>0</v>
      </c>
    </row>
    <row r="245" spans="2:13" x14ac:dyDescent="0.25">
      <c r="B245" s="27">
        <v>242</v>
      </c>
      <c r="C245" s="29">
        <v>47.134961067598674</v>
      </c>
      <c r="D245" s="29">
        <v>70.200790510616528</v>
      </c>
      <c r="E245" s="29">
        <v>126.5267402898121</v>
      </c>
      <c r="F245" s="29">
        <v>38.394602338910879</v>
      </c>
      <c r="G245" s="29">
        <v>0</v>
      </c>
      <c r="H245" s="29">
        <v>0</v>
      </c>
      <c r="I245" s="29">
        <v>0</v>
      </c>
      <c r="J245" s="29">
        <v>0</v>
      </c>
      <c r="K245" s="29">
        <v>66.207556155468509</v>
      </c>
      <c r="L245" s="30">
        <v>0</v>
      </c>
      <c r="M245" s="30">
        <v>0</v>
      </c>
    </row>
    <row r="246" spans="2:13" x14ac:dyDescent="0.25">
      <c r="B246" s="27">
        <v>243</v>
      </c>
      <c r="C246" s="29">
        <v>55.689808885658039</v>
      </c>
      <c r="D246" s="29">
        <v>73.587615709167025</v>
      </c>
      <c r="E246" s="29">
        <v>116.62608878606051</v>
      </c>
      <c r="F246" s="29">
        <v>28.110921422509314</v>
      </c>
      <c r="G246" s="29">
        <v>0</v>
      </c>
      <c r="H246" s="29">
        <v>0</v>
      </c>
      <c r="I246" s="29">
        <v>43.97175465724802</v>
      </c>
      <c r="J246" s="29">
        <v>40.139194676292334</v>
      </c>
      <c r="K246" s="29">
        <v>28.644409398821409</v>
      </c>
      <c r="L246" s="30">
        <v>0</v>
      </c>
      <c r="M246" s="30">
        <v>0</v>
      </c>
    </row>
    <row r="247" spans="2:13" x14ac:dyDescent="0.25">
      <c r="B247" s="27">
        <v>244</v>
      </c>
      <c r="C247" s="29">
        <v>43.623708695268085</v>
      </c>
      <c r="D247" s="29">
        <v>71.077887917149539</v>
      </c>
      <c r="E247" s="29">
        <v>78.272198368420064</v>
      </c>
      <c r="F247" s="29">
        <v>38.14588418742629</v>
      </c>
      <c r="G247" s="29">
        <v>0</v>
      </c>
      <c r="H247" s="29">
        <v>29.266046287829251</v>
      </c>
      <c r="I247" s="29">
        <v>29.10086424704005</v>
      </c>
      <c r="J247" s="29">
        <v>0</v>
      </c>
      <c r="K247" s="29">
        <v>44.666987069440736</v>
      </c>
      <c r="L247" s="30">
        <v>0</v>
      </c>
      <c r="M247" s="30">
        <v>0</v>
      </c>
    </row>
    <row r="248" spans="2:13" x14ac:dyDescent="0.25">
      <c r="B248" s="27">
        <v>245</v>
      </c>
      <c r="C248" s="29">
        <v>17.114756495691537</v>
      </c>
      <c r="D248" s="29">
        <v>70.451969166915958</v>
      </c>
      <c r="E248" s="29">
        <v>0</v>
      </c>
      <c r="F248" s="29">
        <v>24.024946678075793</v>
      </c>
      <c r="G248" s="29">
        <v>0</v>
      </c>
      <c r="H248" s="29">
        <v>0</v>
      </c>
      <c r="I248" s="29">
        <v>0</v>
      </c>
      <c r="J248" s="29">
        <v>0</v>
      </c>
      <c r="K248" s="29">
        <v>53.745083359681303</v>
      </c>
      <c r="L248" s="30">
        <v>0</v>
      </c>
      <c r="M248" s="30">
        <v>0</v>
      </c>
    </row>
    <row r="249" spans="2:13" x14ac:dyDescent="0.25">
      <c r="B249" s="27">
        <v>246</v>
      </c>
      <c r="C249" s="29">
        <v>49.751197414514245</v>
      </c>
      <c r="D249" s="29">
        <v>73.091200705312247</v>
      </c>
      <c r="E249" s="29">
        <v>122.95097892440798</v>
      </c>
      <c r="F249" s="29">
        <v>0</v>
      </c>
      <c r="G249" s="29">
        <v>0</v>
      </c>
      <c r="H249" s="29">
        <v>44.826086334496942</v>
      </c>
      <c r="I249" s="29">
        <v>60.558554718849791</v>
      </c>
      <c r="J249" s="29">
        <v>38.79434977324761</v>
      </c>
      <c r="K249" s="29">
        <v>43.326700951450015</v>
      </c>
      <c r="L249" s="30">
        <v>0</v>
      </c>
      <c r="M249" s="30">
        <v>0</v>
      </c>
    </row>
    <row r="250" spans="2:13" x14ac:dyDescent="0.25">
      <c r="B250" s="27">
        <v>247</v>
      </c>
      <c r="C250" s="29">
        <v>49.085100918946843</v>
      </c>
      <c r="D250" s="29">
        <v>0</v>
      </c>
      <c r="E250" s="29">
        <v>95.552738355571364</v>
      </c>
      <c r="F250" s="29">
        <v>60.466997142387378</v>
      </c>
      <c r="G250" s="29">
        <v>0</v>
      </c>
      <c r="H250" s="29">
        <v>0</v>
      </c>
      <c r="I250" s="29">
        <v>0</v>
      </c>
      <c r="J250" s="29">
        <v>36.260276783514584</v>
      </c>
      <c r="K250" s="29">
        <v>46.913381707525033</v>
      </c>
      <c r="L250" s="30">
        <v>0</v>
      </c>
      <c r="M250" s="30">
        <v>0</v>
      </c>
    </row>
    <row r="251" spans="2:13" x14ac:dyDescent="0.25">
      <c r="B251" s="27">
        <v>248</v>
      </c>
      <c r="C251" s="29">
        <v>39.595840165000226</v>
      </c>
      <c r="D251" s="29">
        <v>72.036418206599322</v>
      </c>
      <c r="E251" s="29">
        <v>81.060098361935516</v>
      </c>
      <c r="F251" s="29">
        <v>38.82810100008335</v>
      </c>
      <c r="G251" s="29">
        <v>0</v>
      </c>
      <c r="H251" s="29">
        <v>0</v>
      </c>
      <c r="I251" s="29">
        <v>0</v>
      </c>
      <c r="J251" s="29">
        <v>0</v>
      </c>
      <c r="K251" s="29">
        <v>50.940551115698526</v>
      </c>
      <c r="L251" s="30">
        <v>0</v>
      </c>
      <c r="M251" s="30">
        <v>0</v>
      </c>
    </row>
    <row r="252" spans="2:13" x14ac:dyDescent="0.25">
      <c r="B252" s="27">
        <v>249</v>
      </c>
      <c r="C252" s="29">
        <v>47.876918173153719</v>
      </c>
      <c r="D252" s="29">
        <v>68.656031906129314</v>
      </c>
      <c r="E252" s="29">
        <v>78.350522989466128</v>
      </c>
      <c r="F252" s="29">
        <v>31.788640458725713</v>
      </c>
      <c r="G252" s="29">
        <v>0</v>
      </c>
      <c r="H252" s="29">
        <v>48.728221723164999</v>
      </c>
      <c r="I252" s="29">
        <v>0</v>
      </c>
      <c r="J252" s="29">
        <v>57.360983708840202</v>
      </c>
      <c r="K252" s="29">
        <v>43.061678644025534</v>
      </c>
      <c r="L252" s="30">
        <v>0</v>
      </c>
      <c r="M252" s="30">
        <v>0</v>
      </c>
    </row>
    <row r="253" spans="2:13" x14ac:dyDescent="0.25">
      <c r="B253" s="27">
        <v>250</v>
      </c>
      <c r="C253" s="29">
        <v>0</v>
      </c>
      <c r="D253" s="29">
        <v>55.254320998980866</v>
      </c>
      <c r="E253" s="29">
        <v>0</v>
      </c>
      <c r="F253" s="29">
        <v>48.192625257319278</v>
      </c>
      <c r="G253" s="29">
        <v>0</v>
      </c>
      <c r="H253" s="29">
        <v>0</v>
      </c>
      <c r="I253" s="29">
        <v>0</v>
      </c>
      <c r="J253" s="29">
        <v>22.770419795340622</v>
      </c>
      <c r="K253" s="29">
        <v>64.250013308976904</v>
      </c>
      <c r="L253" s="30">
        <v>0</v>
      </c>
      <c r="M253" s="30">
        <v>0</v>
      </c>
    </row>
    <row r="254" spans="2:13" x14ac:dyDescent="0.25">
      <c r="B254" s="27">
        <v>251</v>
      </c>
      <c r="C254" s="29">
        <v>55.581408826874998</v>
      </c>
      <c r="D254" s="29">
        <v>71.803186613462429</v>
      </c>
      <c r="E254" s="29">
        <v>0</v>
      </c>
      <c r="F254" s="29">
        <v>47.017154607516467</v>
      </c>
      <c r="G254" s="29">
        <v>0</v>
      </c>
      <c r="H254" s="29">
        <v>0</v>
      </c>
      <c r="I254" s="29">
        <v>0</v>
      </c>
      <c r="J254" s="29">
        <v>51.872084856557777</v>
      </c>
      <c r="K254" s="29">
        <v>0</v>
      </c>
      <c r="L254" s="30">
        <v>0</v>
      </c>
      <c r="M254" s="30">
        <v>0</v>
      </c>
    </row>
    <row r="255" spans="2:13" x14ac:dyDescent="0.25">
      <c r="B255" s="27">
        <v>252</v>
      </c>
      <c r="C255" s="29">
        <v>30.568607861205688</v>
      </c>
      <c r="D255" s="29">
        <v>77.099782965994507</v>
      </c>
      <c r="E255" s="29">
        <v>126.29790882149783</v>
      </c>
      <c r="F255" s="29">
        <v>47.878614627591865</v>
      </c>
      <c r="G255" s="29">
        <v>0</v>
      </c>
      <c r="H255" s="29">
        <v>0</v>
      </c>
      <c r="I255" s="29">
        <v>0</v>
      </c>
      <c r="J255" s="29">
        <v>43.42890154776984</v>
      </c>
      <c r="K255" s="29">
        <v>21.641663045321792</v>
      </c>
      <c r="L255" s="30">
        <v>0</v>
      </c>
      <c r="M255" s="30">
        <v>0</v>
      </c>
    </row>
    <row r="256" spans="2:13" x14ac:dyDescent="0.25">
      <c r="B256" s="27">
        <v>253</v>
      </c>
      <c r="C256" s="29">
        <v>42.478040430189374</v>
      </c>
      <c r="D256" s="29">
        <v>79.236380993068224</v>
      </c>
      <c r="E256" s="29">
        <v>0</v>
      </c>
      <c r="F256" s="29">
        <v>0</v>
      </c>
      <c r="G256" s="29">
        <v>0</v>
      </c>
      <c r="H256" s="29">
        <v>0</v>
      </c>
      <c r="I256" s="29">
        <v>54.100261384536893</v>
      </c>
      <c r="J256" s="29">
        <v>0</v>
      </c>
      <c r="K256" s="29">
        <v>0</v>
      </c>
      <c r="L256" s="30">
        <v>0</v>
      </c>
      <c r="M256" s="30">
        <v>0</v>
      </c>
    </row>
    <row r="257" spans="2:13" x14ac:dyDescent="0.25">
      <c r="B257" s="27">
        <v>254</v>
      </c>
      <c r="C257" s="29">
        <v>40.886932934911201</v>
      </c>
      <c r="D257" s="29">
        <v>82.689747829851342</v>
      </c>
      <c r="E257" s="29">
        <v>0</v>
      </c>
      <c r="F257" s="29">
        <v>46.002985791351762</v>
      </c>
      <c r="G257" s="29">
        <v>0</v>
      </c>
      <c r="H257" s="29">
        <v>0</v>
      </c>
      <c r="I257" s="29">
        <v>0</v>
      </c>
      <c r="J257" s="29">
        <v>0</v>
      </c>
      <c r="K257" s="29">
        <v>0</v>
      </c>
      <c r="L257" s="30">
        <v>0</v>
      </c>
      <c r="M257" s="30">
        <v>0</v>
      </c>
    </row>
    <row r="258" spans="2:13" x14ac:dyDescent="0.25">
      <c r="B258" s="27">
        <v>255</v>
      </c>
      <c r="C258" s="29">
        <v>48.512799226824164</v>
      </c>
      <c r="D258" s="29">
        <v>57.552855934482444</v>
      </c>
      <c r="E258" s="29">
        <v>80.490919344758126</v>
      </c>
      <c r="F258" s="29">
        <v>33.718694232000757</v>
      </c>
      <c r="G258" s="29">
        <v>0</v>
      </c>
      <c r="H258" s="29">
        <v>0</v>
      </c>
      <c r="I258" s="29">
        <v>27.936774194531939</v>
      </c>
      <c r="J258" s="29">
        <v>0</v>
      </c>
      <c r="K258" s="29">
        <v>0</v>
      </c>
      <c r="L258" s="30">
        <v>0</v>
      </c>
      <c r="M258" s="30">
        <v>0</v>
      </c>
    </row>
    <row r="259" spans="2:13" x14ac:dyDescent="0.25">
      <c r="B259" s="27">
        <v>256</v>
      </c>
      <c r="C259" s="29">
        <v>33.68273044085069</v>
      </c>
      <c r="D259" s="29">
        <v>76.336763131633461</v>
      </c>
      <c r="E259" s="29">
        <v>83.488716159487609</v>
      </c>
      <c r="F259" s="29">
        <v>32.355026596724343</v>
      </c>
      <c r="G259" s="29">
        <v>0</v>
      </c>
      <c r="H259" s="29">
        <v>37.424033923899337</v>
      </c>
      <c r="I259" s="29">
        <v>0</v>
      </c>
      <c r="J259" s="29">
        <v>0</v>
      </c>
      <c r="K259" s="29">
        <v>0</v>
      </c>
      <c r="L259" s="30">
        <v>0</v>
      </c>
      <c r="M259" s="30">
        <v>0</v>
      </c>
    </row>
    <row r="260" spans="2:13" x14ac:dyDescent="0.25">
      <c r="B260" s="27">
        <v>257</v>
      </c>
      <c r="C260" s="29">
        <v>40.087539831959788</v>
      </c>
      <c r="D260" s="29">
        <v>77.182084719049556</v>
      </c>
      <c r="E260" s="29">
        <v>68.270620538772434</v>
      </c>
      <c r="F260" s="29">
        <v>63.942194517225808</v>
      </c>
      <c r="G260" s="29">
        <v>0</v>
      </c>
      <c r="H260" s="29">
        <v>0</v>
      </c>
      <c r="I260" s="29">
        <v>42.027700662410915</v>
      </c>
      <c r="J260" s="29">
        <v>0</v>
      </c>
      <c r="K260" s="29">
        <v>48.955026955028806</v>
      </c>
      <c r="L260" s="30">
        <v>0</v>
      </c>
      <c r="M260" s="30">
        <v>0</v>
      </c>
    </row>
    <row r="261" spans="2:13" x14ac:dyDescent="0.25">
      <c r="B261" s="27">
        <v>258</v>
      </c>
      <c r="C261" s="29">
        <v>44.793653441020545</v>
      </c>
      <c r="D261" s="29">
        <v>66.712914572318354</v>
      </c>
      <c r="E261" s="29">
        <v>88.322199039057608</v>
      </c>
      <c r="F261" s="29">
        <v>32.029055138639912</v>
      </c>
      <c r="G261" s="29">
        <v>0</v>
      </c>
      <c r="H261" s="29">
        <v>0</v>
      </c>
      <c r="I261" s="29">
        <v>36.864176010714687</v>
      </c>
      <c r="J261" s="29">
        <v>0</v>
      </c>
      <c r="K261" s="29">
        <v>50.595718975864031</v>
      </c>
      <c r="L261" s="30">
        <v>0</v>
      </c>
      <c r="M261" s="30">
        <v>0</v>
      </c>
    </row>
    <row r="262" spans="2:13" x14ac:dyDescent="0.25">
      <c r="B262" s="27">
        <v>259</v>
      </c>
      <c r="C262" s="29">
        <v>47.400544918859516</v>
      </c>
      <c r="D262" s="29">
        <v>73.698819579937378</v>
      </c>
      <c r="E262" s="29">
        <v>65.510017292347683</v>
      </c>
      <c r="F262" s="29">
        <v>23.418022371169066</v>
      </c>
      <c r="G262" s="29">
        <v>0</v>
      </c>
      <c r="H262" s="29">
        <v>41.265000812272334</v>
      </c>
      <c r="I262" s="29">
        <v>0</v>
      </c>
      <c r="J262" s="29">
        <v>0</v>
      </c>
      <c r="K262" s="29">
        <v>26.001295201444549</v>
      </c>
      <c r="L262" s="30">
        <v>0</v>
      </c>
      <c r="M262" s="30">
        <v>0</v>
      </c>
    </row>
    <row r="263" spans="2:13" x14ac:dyDescent="0.25">
      <c r="B263" s="27">
        <v>260</v>
      </c>
      <c r="C263" s="29">
        <v>47.534033159868457</v>
      </c>
      <c r="D263" s="29">
        <v>66.397432582843834</v>
      </c>
      <c r="E263" s="29">
        <v>93.915638032370211</v>
      </c>
      <c r="F263" s="29">
        <v>0</v>
      </c>
      <c r="G263" s="29">
        <v>0</v>
      </c>
      <c r="H263" s="29">
        <v>0</v>
      </c>
      <c r="I263" s="29">
        <v>30.428740532534789</v>
      </c>
      <c r="J263" s="29">
        <v>0</v>
      </c>
      <c r="K263" s="29">
        <v>0</v>
      </c>
      <c r="L263" s="30">
        <v>0</v>
      </c>
      <c r="M263" s="30">
        <v>0</v>
      </c>
    </row>
    <row r="264" spans="2:13" x14ac:dyDescent="0.25">
      <c r="B264" s="27">
        <v>261</v>
      </c>
      <c r="C264" s="29">
        <v>49.483621304261753</v>
      </c>
      <c r="D264" s="29">
        <v>55.498197010178536</v>
      </c>
      <c r="E264" s="29">
        <v>88.909403261285036</v>
      </c>
      <c r="F264" s="29">
        <v>48.968510794107033</v>
      </c>
      <c r="G264" s="29">
        <v>0</v>
      </c>
      <c r="H264" s="29">
        <v>0</v>
      </c>
      <c r="I264" s="29">
        <v>0</v>
      </c>
      <c r="J264" s="29">
        <v>0</v>
      </c>
      <c r="K264" s="29">
        <v>0</v>
      </c>
      <c r="L264" s="30">
        <v>0</v>
      </c>
      <c r="M264" s="30">
        <v>0</v>
      </c>
    </row>
    <row r="265" spans="2:13" x14ac:dyDescent="0.25">
      <c r="B265" s="27">
        <v>262</v>
      </c>
      <c r="C265" s="29">
        <v>59.220581065137452</v>
      </c>
      <c r="D265" s="29">
        <v>0</v>
      </c>
      <c r="E265" s="29">
        <v>102.12013549658336</v>
      </c>
      <c r="F265" s="29">
        <v>58.862443664677734</v>
      </c>
      <c r="G265" s="29">
        <v>0</v>
      </c>
      <c r="H265" s="29">
        <v>0</v>
      </c>
      <c r="I265" s="29">
        <v>36.570191261264384</v>
      </c>
      <c r="J265" s="29">
        <v>0</v>
      </c>
      <c r="K265" s="29">
        <v>0</v>
      </c>
      <c r="L265" s="30">
        <v>0</v>
      </c>
      <c r="M265" s="30">
        <v>0</v>
      </c>
    </row>
    <row r="266" spans="2:13" x14ac:dyDescent="0.25">
      <c r="B266" s="27">
        <v>263</v>
      </c>
      <c r="C266" s="29">
        <v>52.693263533370768</v>
      </c>
      <c r="D266" s="29">
        <v>98.838740537124025</v>
      </c>
      <c r="E266" s="29">
        <v>91.036845823136957</v>
      </c>
      <c r="F266" s="29">
        <v>32.783244535184082</v>
      </c>
      <c r="G266" s="29">
        <v>0</v>
      </c>
      <c r="H266" s="29">
        <v>0</v>
      </c>
      <c r="I266" s="29">
        <v>44.256511324064306</v>
      </c>
      <c r="J266" s="29">
        <v>0</v>
      </c>
      <c r="K266" s="29">
        <v>0</v>
      </c>
      <c r="L266" s="30">
        <v>0</v>
      </c>
      <c r="M266" s="30">
        <v>0</v>
      </c>
    </row>
    <row r="267" spans="2:13" x14ac:dyDescent="0.25">
      <c r="B267" s="27">
        <v>264</v>
      </c>
      <c r="C267" s="29">
        <v>36.951638632770738</v>
      </c>
      <c r="D267" s="29">
        <v>63.733860537193472</v>
      </c>
      <c r="E267" s="29">
        <v>68.513401565093602</v>
      </c>
      <c r="F267" s="29">
        <v>12.322849183256135</v>
      </c>
      <c r="G267" s="29">
        <v>0</v>
      </c>
      <c r="H267" s="29">
        <v>0</v>
      </c>
      <c r="I267" s="29">
        <v>0</v>
      </c>
      <c r="J267" s="29">
        <v>0</v>
      </c>
      <c r="K267" s="29">
        <v>42.590089579332798</v>
      </c>
      <c r="L267" s="30">
        <v>0</v>
      </c>
      <c r="M267" s="30">
        <v>0</v>
      </c>
    </row>
    <row r="268" spans="2:13" x14ac:dyDescent="0.25">
      <c r="B268" s="27">
        <v>265</v>
      </c>
      <c r="C268" s="29">
        <v>42.640086261278903</v>
      </c>
      <c r="D268" s="29">
        <v>95.13462293382787</v>
      </c>
      <c r="E268" s="29">
        <v>87.321334179371433</v>
      </c>
      <c r="F268" s="29">
        <v>41.760944407690211</v>
      </c>
      <c r="G268" s="29">
        <v>0</v>
      </c>
      <c r="H268" s="29">
        <v>0</v>
      </c>
      <c r="I268" s="29">
        <v>56.319534677837048</v>
      </c>
      <c r="J268" s="29">
        <v>0</v>
      </c>
      <c r="K268" s="29">
        <v>0</v>
      </c>
      <c r="L268" s="30">
        <v>0</v>
      </c>
      <c r="M268" s="30">
        <v>0</v>
      </c>
    </row>
    <row r="269" spans="2:13" x14ac:dyDescent="0.25">
      <c r="B269" s="27">
        <v>266</v>
      </c>
      <c r="C269" s="29">
        <v>37.134043942530482</v>
      </c>
      <c r="D269" s="29">
        <v>79.626390490829493</v>
      </c>
      <c r="E269" s="29">
        <v>89.524265870193148</v>
      </c>
      <c r="F269" s="29">
        <v>49.077510631430528</v>
      </c>
      <c r="G269" s="29">
        <v>0</v>
      </c>
      <c r="H269" s="29">
        <v>0</v>
      </c>
      <c r="I269" s="29">
        <v>0</v>
      </c>
      <c r="J269" s="29">
        <v>61.777498664989814</v>
      </c>
      <c r="K269" s="29">
        <v>57.917501767058639</v>
      </c>
      <c r="L269" s="30">
        <v>0</v>
      </c>
      <c r="M269" s="30">
        <v>0</v>
      </c>
    </row>
    <row r="270" spans="2:13" x14ac:dyDescent="0.25">
      <c r="B270" s="27">
        <v>267</v>
      </c>
      <c r="C270" s="29">
        <v>17.575191750370792</v>
      </c>
      <c r="D270" s="29">
        <v>0</v>
      </c>
      <c r="E270" s="29">
        <v>0</v>
      </c>
      <c r="F270" s="29">
        <v>55.136758300265612</v>
      </c>
      <c r="G270" s="29">
        <v>0</v>
      </c>
      <c r="H270" s="29">
        <v>56.842463523875246</v>
      </c>
      <c r="I270" s="29">
        <v>56.678491629702364</v>
      </c>
      <c r="J270" s="29">
        <v>0</v>
      </c>
      <c r="K270" s="29">
        <v>31.229719642395416</v>
      </c>
      <c r="L270" s="30">
        <v>0</v>
      </c>
      <c r="M270" s="30">
        <v>0</v>
      </c>
    </row>
    <row r="271" spans="2:13" x14ac:dyDescent="0.25">
      <c r="B271" s="27">
        <v>268</v>
      </c>
      <c r="C271" s="29">
        <v>47.664896727474556</v>
      </c>
      <c r="D271" s="29">
        <v>79.509974465401314</v>
      </c>
      <c r="E271" s="29">
        <v>128.39713971071856</v>
      </c>
      <c r="F271" s="29">
        <v>27.320394823739402</v>
      </c>
      <c r="G271" s="29">
        <v>0</v>
      </c>
      <c r="H271" s="29">
        <v>0</v>
      </c>
      <c r="I271" s="29">
        <v>47.338621439986042</v>
      </c>
      <c r="J271" s="29">
        <v>0</v>
      </c>
      <c r="K271" s="29">
        <v>56.717128803935935</v>
      </c>
      <c r="L271" s="30">
        <v>0</v>
      </c>
      <c r="M271" s="30">
        <v>0</v>
      </c>
    </row>
    <row r="272" spans="2:13" x14ac:dyDescent="0.25">
      <c r="B272" s="27">
        <v>269</v>
      </c>
      <c r="C272" s="29">
        <v>61.057141822910324</v>
      </c>
      <c r="D272" s="29">
        <v>67.919585432967708</v>
      </c>
      <c r="E272" s="29">
        <v>99.342859848742933</v>
      </c>
      <c r="F272" s="29">
        <v>51.978145381612748</v>
      </c>
      <c r="G272" s="29">
        <v>0</v>
      </c>
      <c r="H272" s="29">
        <v>0</v>
      </c>
      <c r="I272" s="29">
        <v>0</v>
      </c>
      <c r="J272" s="29">
        <v>0</v>
      </c>
      <c r="K272" s="29">
        <v>25.092140769282832</v>
      </c>
      <c r="L272" s="30">
        <v>0</v>
      </c>
      <c r="M272" s="30">
        <v>0</v>
      </c>
    </row>
    <row r="273" spans="2:13" x14ac:dyDescent="0.25">
      <c r="B273" s="27">
        <v>270</v>
      </c>
      <c r="C273" s="29">
        <v>45.591444396961833</v>
      </c>
      <c r="D273" s="29">
        <v>68.128631113856272</v>
      </c>
      <c r="E273" s="29">
        <v>0</v>
      </c>
      <c r="F273" s="29">
        <v>54.30519385371467</v>
      </c>
      <c r="G273" s="29">
        <v>46.843732094117428</v>
      </c>
      <c r="H273" s="29">
        <v>0</v>
      </c>
      <c r="I273" s="29">
        <v>33.76199746462904</v>
      </c>
      <c r="J273" s="29">
        <v>0</v>
      </c>
      <c r="K273" s="29">
        <v>52.020567766043953</v>
      </c>
      <c r="L273" s="30">
        <v>0</v>
      </c>
      <c r="M273" s="30">
        <v>0</v>
      </c>
    </row>
    <row r="274" spans="2:13" x14ac:dyDescent="0.25">
      <c r="B274" s="27">
        <v>271</v>
      </c>
      <c r="C274" s="29">
        <v>60.588545876471926</v>
      </c>
      <c r="D274" s="29">
        <v>80.579850098628512</v>
      </c>
      <c r="E274" s="29">
        <v>70.266605642203331</v>
      </c>
      <c r="F274" s="29">
        <v>44.185488469962614</v>
      </c>
      <c r="G274" s="29">
        <v>0</v>
      </c>
      <c r="H274" s="29">
        <v>0</v>
      </c>
      <c r="I274" s="29">
        <v>0</v>
      </c>
      <c r="J274" s="29">
        <v>36.149979302543713</v>
      </c>
      <c r="K274" s="29">
        <v>61.184888228537126</v>
      </c>
      <c r="L274" s="30">
        <v>0</v>
      </c>
      <c r="M274" s="30">
        <v>0</v>
      </c>
    </row>
    <row r="275" spans="2:13" x14ac:dyDescent="0.25">
      <c r="B275" s="27">
        <v>272</v>
      </c>
      <c r="C275" s="29">
        <v>61.631147054910585</v>
      </c>
      <c r="D275" s="29">
        <v>78.731860194493564</v>
      </c>
      <c r="E275" s="29">
        <v>77.346517375926155</v>
      </c>
      <c r="F275" s="29">
        <v>64.178476978186509</v>
      </c>
      <c r="G275" s="29">
        <v>0</v>
      </c>
      <c r="H275" s="29">
        <v>0</v>
      </c>
      <c r="I275" s="29">
        <v>0</v>
      </c>
      <c r="J275" s="29">
        <v>0</v>
      </c>
      <c r="K275" s="29">
        <v>0</v>
      </c>
      <c r="L275" s="30">
        <v>46.471444985484418</v>
      </c>
      <c r="M275" s="30">
        <v>0</v>
      </c>
    </row>
    <row r="276" spans="2:13" x14ac:dyDescent="0.25">
      <c r="B276" s="27">
        <v>273</v>
      </c>
      <c r="C276" s="29">
        <v>22.352084995867607</v>
      </c>
      <c r="D276" s="29">
        <v>87.884926466001303</v>
      </c>
      <c r="E276" s="29">
        <v>70.889420300122069</v>
      </c>
      <c r="F276" s="29">
        <v>41.55871029060971</v>
      </c>
      <c r="G276" s="29">
        <v>0</v>
      </c>
      <c r="H276" s="29">
        <v>0</v>
      </c>
      <c r="I276" s="29">
        <v>18.674485002722363</v>
      </c>
      <c r="J276" s="29">
        <v>25.823148777087663</v>
      </c>
      <c r="K276" s="29">
        <v>37.684203197415329</v>
      </c>
      <c r="L276" s="30">
        <v>0</v>
      </c>
      <c r="M276" s="30">
        <v>0</v>
      </c>
    </row>
    <row r="277" spans="2:13" x14ac:dyDescent="0.25">
      <c r="B277" s="27">
        <v>274</v>
      </c>
      <c r="C277" s="29">
        <v>18.568678253927345</v>
      </c>
      <c r="D277" s="29">
        <v>91.281331609768657</v>
      </c>
      <c r="E277" s="29">
        <v>126.11257340371345</v>
      </c>
      <c r="F277" s="29">
        <v>49.915994168519553</v>
      </c>
      <c r="G277" s="29">
        <v>0</v>
      </c>
      <c r="H277" s="29">
        <v>0</v>
      </c>
      <c r="I277" s="29">
        <v>0</v>
      </c>
      <c r="J277" s="29">
        <v>0</v>
      </c>
      <c r="K277" s="29">
        <v>0</v>
      </c>
      <c r="L277" s="30">
        <v>0</v>
      </c>
      <c r="M277" s="30">
        <v>0</v>
      </c>
    </row>
    <row r="278" spans="2:13" x14ac:dyDescent="0.25">
      <c r="B278" s="27">
        <v>275</v>
      </c>
      <c r="C278" s="29">
        <v>41.241325364853367</v>
      </c>
      <c r="D278" s="29">
        <v>0</v>
      </c>
      <c r="E278" s="29">
        <v>119.52224712324831</v>
      </c>
      <c r="F278" s="29">
        <v>59.056313358761642</v>
      </c>
      <c r="G278" s="29">
        <v>0</v>
      </c>
      <c r="H278" s="29">
        <v>0</v>
      </c>
      <c r="I278" s="29">
        <v>29.752729406369887</v>
      </c>
      <c r="J278" s="29">
        <v>0</v>
      </c>
      <c r="K278" s="29">
        <v>16.075611860773869</v>
      </c>
      <c r="L278" s="30">
        <v>0</v>
      </c>
      <c r="M278" s="30">
        <v>0</v>
      </c>
    </row>
    <row r="279" spans="2:13" x14ac:dyDescent="0.25">
      <c r="B279" s="27">
        <v>276</v>
      </c>
      <c r="C279" s="29">
        <v>0</v>
      </c>
      <c r="D279" s="29">
        <v>65.310428591409035</v>
      </c>
      <c r="E279" s="29">
        <v>69.487405629929341</v>
      </c>
      <c r="F279" s="29">
        <v>47.702596757542452</v>
      </c>
      <c r="G279" s="29">
        <v>52.849882609835234</v>
      </c>
      <c r="H279" s="29">
        <v>0</v>
      </c>
      <c r="I279" s="29">
        <v>0</v>
      </c>
      <c r="J279" s="29">
        <v>0</v>
      </c>
      <c r="K279" s="29">
        <v>60.300811152179875</v>
      </c>
      <c r="L279" s="30">
        <v>0</v>
      </c>
      <c r="M279" s="30">
        <v>0</v>
      </c>
    </row>
    <row r="280" spans="2:13" x14ac:dyDescent="0.25">
      <c r="B280" s="27">
        <v>277</v>
      </c>
      <c r="C280" s="29">
        <v>16.323234515387373</v>
      </c>
      <c r="D280" s="29">
        <v>0</v>
      </c>
      <c r="E280" s="29">
        <v>103.48170126162273</v>
      </c>
      <c r="F280" s="29">
        <v>51.8087788888445</v>
      </c>
      <c r="G280" s="29">
        <v>0</v>
      </c>
      <c r="H280" s="29">
        <v>0</v>
      </c>
      <c r="I280" s="29">
        <v>57.082013522994686</v>
      </c>
      <c r="J280" s="29">
        <v>0</v>
      </c>
      <c r="K280" s="29">
        <v>54.18449053190988</v>
      </c>
      <c r="L280" s="30">
        <v>0</v>
      </c>
      <c r="M280" s="30">
        <v>0</v>
      </c>
    </row>
    <row r="281" spans="2:13" x14ac:dyDescent="0.25">
      <c r="B281" s="27">
        <v>278</v>
      </c>
      <c r="C281" s="29">
        <v>45.601885459308399</v>
      </c>
      <c r="D281" s="29">
        <v>75.139270169769702</v>
      </c>
      <c r="E281" s="29">
        <v>116.96969301312555</v>
      </c>
      <c r="F281" s="29">
        <v>32.135131252554402</v>
      </c>
      <c r="G281" s="29">
        <v>0</v>
      </c>
      <c r="H281" s="29">
        <v>0</v>
      </c>
      <c r="I281" s="29">
        <v>36.613928189326586</v>
      </c>
      <c r="J281" s="29">
        <v>0</v>
      </c>
      <c r="K281" s="29">
        <v>52.846931818605768</v>
      </c>
      <c r="L281" s="30">
        <v>0</v>
      </c>
      <c r="M281" s="30">
        <v>0</v>
      </c>
    </row>
    <row r="282" spans="2:13" x14ac:dyDescent="0.25">
      <c r="B282" s="27">
        <v>279</v>
      </c>
      <c r="C282" s="29">
        <v>62.626319373937477</v>
      </c>
      <c r="D282" s="29">
        <v>73.612230996062294</v>
      </c>
      <c r="E282" s="29">
        <v>107.67688013769019</v>
      </c>
      <c r="F282" s="29">
        <v>46.562136639981041</v>
      </c>
      <c r="G282" s="29">
        <v>0</v>
      </c>
      <c r="H282" s="29">
        <v>0</v>
      </c>
      <c r="I282" s="29">
        <v>0</v>
      </c>
      <c r="J282" s="29">
        <v>0</v>
      </c>
      <c r="K282" s="29">
        <v>41.599869351173702</v>
      </c>
      <c r="L282" s="30">
        <v>0</v>
      </c>
      <c r="M282" s="30">
        <v>0</v>
      </c>
    </row>
    <row r="283" spans="2:13" x14ac:dyDescent="0.25">
      <c r="B283" s="27">
        <v>280</v>
      </c>
      <c r="C283" s="29">
        <v>20.592976296429139</v>
      </c>
      <c r="D283" s="29">
        <v>0</v>
      </c>
      <c r="E283" s="29">
        <v>92.643001113723983</v>
      </c>
      <c r="F283" s="29">
        <v>24.810753824706531</v>
      </c>
      <c r="G283" s="29">
        <v>0</v>
      </c>
      <c r="H283" s="29">
        <v>0</v>
      </c>
      <c r="I283" s="29">
        <v>29.851075382184135</v>
      </c>
      <c r="J283" s="29">
        <v>58.93940803744966</v>
      </c>
      <c r="K283" s="29">
        <v>40.102143832720209</v>
      </c>
      <c r="L283" s="30">
        <v>0</v>
      </c>
      <c r="M283" s="30">
        <v>0</v>
      </c>
    </row>
    <row r="284" spans="2:13" x14ac:dyDescent="0.25">
      <c r="B284" s="27">
        <v>281</v>
      </c>
      <c r="C284" s="29">
        <v>58.376301762076757</v>
      </c>
      <c r="D284" s="29">
        <v>0</v>
      </c>
      <c r="E284" s="29">
        <v>74.633507872476514</v>
      </c>
      <c r="F284" s="29">
        <v>47.156599154176185</v>
      </c>
      <c r="G284" s="29">
        <v>0</v>
      </c>
      <c r="H284" s="29">
        <v>0</v>
      </c>
      <c r="I284" s="29">
        <v>0</v>
      </c>
      <c r="J284" s="29">
        <v>0</v>
      </c>
      <c r="K284" s="29">
        <v>49.711562297689731</v>
      </c>
      <c r="L284" s="30">
        <v>36.552565858433852</v>
      </c>
      <c r="M284" s="30">
        <v>0</v>
      </c>
    </row>
    <row r="285" spans="2:13" x14ac:dyDescent="0.25">
      <c r="B285" s="27">
        <v>282</v>
      </c>
      <c r="C285" s="29">
        <v>48.240180958133742</v>
      </c>
      <c r="D285" s="29">
        <v>63.703695896887666</v>
      </c>
      <c r="E285" s="29">
        <v>94.8596004134277</v>
      </c>
      <c r="F285" s="29">
        <v>52.274223212204035</v>
      </c>
      <c r="G285" s="29">
        <v>0</v>
      </c>
      <c r="H285" s="29">
        <v>0</v>
      </c>
      <c r="I285" s="29">
        <v>33.053608897914366</v>
      </c>
      <c r="J285" s="29">
        <v>43.786436469102831</v>
      </c>
      <c r="K285" s="29">
        <v>52.201942244668793</v>
      </c>
      <c r="L285" s="30">
        <v>0</v>
      </c>
      <c r="M285" s="30">
        <v>0</v>
      </c>
    </row>
    <row r="286" spans="2:13" x14ac:dyDescent="0.25">
      <c r="B286" s="27">
        <v>283</v>
      </c>
      <c r="C286" s="29">
        <v>38.77771719188361</v>
      </c>
      <c r="D286" s="29">
        <v>83.580816937023243</v>
      </c>
      <c r="E286" s="29">
        <v>81.413111510710181</v>
      </c>
      <c r="F286" s="29">
        <v>61.513684323476433</v>
      </c>
      <c r="G286" s="29">
        <v>0</v>
      </c>
      <c r="H286" s="29">
        <v>31.417972555942985</v>
      </c>
      <c r="I286" s="29">
        <v>40.231776770516078</v>
      </c>
      <c r="J286" s="29">
        <v>0</v>
      </c>
      <c r="K286" s="29">
        <v>53.688350123434482</v>
      </c>
      <c r="L286" s="30">
        <v>0</v>
      </c>
      <c r="M286" s="30">
        <v>0</v>
      </c>
    </row>
    <row r="287" spans="2:13" x14ac:dyDescent="0.25">
      <c r="B287" s="27">
        <v>284</v>
      </c>
      <c r="C287" s="29">
        <v>22.58207717695689</v>
      </c>
      <c r="D287" s="29">
        <v>70.610855835281981</v>
      </c>
      <c r="E287" s="29">
        <v>0</v>
      </c>
      <c r="F287" s="29">
        <v>0</v>
      </c>
      <c r="G287" s="29">
        <v>0</v>
      </c>
      <c r="H287" s="29">
        <v>42.554080806115273</v>
      </c>
      <c r="I287" s="29">
        <v>0</v>
      </c>
      <c r="J287" s="29">
        <v>0</v>
      </c>
      <c r="K287" s="29">
        <v>13.416290498680681</v>
      </c>
      <c r="L287" s="30">
        <v>59.758918100966113</v>
      </c>
      <c r="M287" s="30">
        <v>0</v>
      </c>
    </row>
    <row r="288" spans="2:13" x14ac:dyDescent="0.25">
      <c r="B288" s="27">
        <v>285</v>
      </c>
      <c r="C288" s="29">
        <v>0</v>
      </c>
      <c r="D288" s="29">
        <v>65.271775948186544</v>
      </c>
      <c r="E288" s="29">
        <v>0</v>
      </c>
      <c r="F288" s="29">
        <v>0</v>
      </c>
      <c r="G288" s="29">
        <v>0</v>
      </c>
      <c r="H288" s="29">
        <v>45.517547739968137</v>
      </c>
      <c r="I288" s="29">
        <v>0</v>
      </c>
      <c r="J288" s="29">
        <v>0</v>
      </c>
      <c r="K288" s="29">
        <v>49.094093727995364</v>
      </c>
      <c r="L288" s="30">
        <v>0</v>
      </c>
      <c r="M288" s="30">
        <v>0</v>
      </c>
    </row>
    <row r="289" spans="2:13" x14ac:dyDescent="0.25">
      <c r="B289" s="27">
        <v>286</v>
      </c>
      <c r="C289" s="29">
        <v>53.151170892312265</v>
      </c>
      <c r="D289" s="29">
        <v>75.814784815142744</v>
      </c>
      <c r="E289" s="29">
        <v>91.757168520577693</v>
      </c>
      <c r="F289" s="29">
        <v>39.279978149279607</v>
      </c>
      <c r="G289" s="29">
        <v>0</v>
      </c>
      <c r="H289" s="29">
        <v>0</v>
      </c>
      <c r="I289" s="29">
        <v>58.095204933659176</v>
      </c>
      <c r="J289" s="29">
        <v>0</v>
      </c>
      <c r="K289" s="29">
        <v>63.190002015870462</v>
      </c>
      <c r="L289" s="30">
        <v>0</v>
      </c>
      <c r="M289" s="30">
        <v>0</v>
      </c>
    </row>
    <row r="290" spans="2:13" x14ac:dyDescent="0.25">
      <c r="B290" s="27">
        <v>287</v>
      </c>
      <c r="C290" s="29">
        <v>39.497257829991796</v>
      </c>
      <c r="D290" s="29">
        <v>78.728456309945642</v>
      </c>
      <c r="E290" s="29">
        <v>96.945713512662365</v>
      </c>
      <c r="F290" s="29">
        <v>45.836029104933601</v>
      </c>
      <c r="G290" s="29">
        <v>0</v>
      </c>
      <c r="H290" s="29">
        <v>0</v>
      </c>
      <c r="I290" s="29">
        <v>0</v>
      </c>
      <c r="J290" s="29">
        <v>0</v>
      </c>
      <c r="K290" s="29">
        <v>0</v>
      </c>
      <c r="L290" s="30">
        <v>0</v>
      </c>
      <c r="M290" s="30">
        <v>0</v>
      </c>
    </row>
    <row r="291" spans="2:13" x14ac:dyDescent="0.25">
      <c r="B291" s="27">
        <v>288</v>
      </c>
      <c r="C291" s="29">
        <v>49.153579808561183</v>
      </c>
      <c r="D291" s="29">
        <v>64.870971244323357</v>
      </c>
      <c r="E291" s="29">
        <v>0</v>
      </c>
      <c r="F291" s="29">
        <v>49.811617925892406</v>
      </c>
      <c r="G291" s="29">
        <v>0</v>
      </c>
      <c r="H291" s="29">
        <v>45.685669098412603</v>
      </c>
      <c r="I291" s="29">
        <v>0</v>
      </c>
      <c r="J291" s="29">
        <v>0</v>
      </c>
      <c r="K291" s="29">
        <v>62.18048049071173</v>
      </c>
      <c r="L291" s="30">
        <v>0</v>
      </c>
      <c r="M291" s="30">
        <v>0</v>
      </c>
    </row>
    <row r="292" spans="2:13" x14ac:dyDescent="0.25">
      <c r="B292" s="27">
        <v>289</v>
      </c>
      <c r="C292" s="29">
        <v>43.917208248525483</v>
      </c>
      <c r="D292" s="29">
        <v>76.618763897157237</v>
      </c>
      <c r="E292" s="29">
        <v>100.077840026519</v>
      </c>
      <c r="F292" s="29">
        <v>55.276508486809263</v>
      </c>
      <c r="G292" s="29">
        <v>0</v>
      </c>
      <c r="H292" s="29">
        <v>0</v>
      </c>
      <c r="I292" s="29">
        <v>0</v>
      </c>
      <c r="J292" s="29">
        <v>0</v>
      </c>
      <c r="K292" s="29">
        <v>35.293389447956741</v>
      </c>
      <c r="L292" s="30">
        <v>0</v>
      </c>
      <c r="M292" s="30">
        <v>0</v>
      </c>
    </row>
    <row r="293" spans="2:13" x14ac:dyDescent="0.25">
      <c r="B293" s="27">
        <v>290</v>
      </c>
      <c r="C293" s="29">
        <v>0</v>
      </c>
      <c r="D293" s="29">
        <v>63.874343142281575</v>
      </c>
      <c r="E293" s="29">
        <v>108.3344274662206</v>
      </c>
      <c r="F293" s="29">
        <v>30.652571847661111</v>
      </c>
      <c r="G293" s="29">
        <v>0</v>
      </c>
      <c r="H293" s="29">
        <v>0</v>
      </c>
      <c r="I293" s="29">
        <v>49.508989636085836</v>
      </c>
      <c r="J293" s="29">
        <v>0</v>
      </c>
      <c r="K293" s="29">
        <v>48.350104074701463</v>
      </c>
      <c r="L293" s="30">
        <v>0</v>
      </c>
      <c r="M293" s="30">
        <v>0</v>
      </c>
    </row>
    <row r="294" spans="2:13" x14ac:dyDescent="0.25">
      <c r="B294" s="27">
        <v>291</v>
      </c>
      <c r="C294" s="29">
        <v>49.447805161410486</v>
      </c>
      <c r="D294" s="29">
        <v>55.590513859443838</v>
      </c>
      <c r="E294" s="29">
        <v>67.199765621082619</v>
      </c>
      <c r="F294" s="29">
        <v>59.117170157962491</v>
      </c>
      <c r="G294" s="29">
        <v>26.192152972744228</v>
      </c>
      <c r="H294" s="29">
        <v>0</v>
      </c>
      <c r="I294" s="29">
        <v>0</v>
      </c>
      <c r="J294" s="29">
        <v>0</v>
      </c>
      <c r="K294" s="29">
        <v>37.644292497643264</v>
      </c>
      <c r="L294" s="30">
        <v>0</v>
      </c>
      <c r="M294" s="30">
        <v>0</v>
      </c>
    </row>
    <row r="295" spans="2:13" x14ac:dyDescent="0.25">
      <c r="B295" s="27">
        <v>292</v>
      </c>
      <c r="C295" s="29">
        <v>43.875027577003628</v>
      </c>
      <c r="D295" s="29">
        <v>81.688737507050121</v>
      </c>
      <c r="E295" s="29">
        <v>0</v>
      </c>
      <c r="F295" s="29">
        <v>29.342317154570747</v>
      </c>
      <c r="G295" s="29">
        <v>0</v>
      </c>
      <c r="H295" s="29">
        <v>35.385532340169334</v>
      </c>
      <c r="I295" s="29">
        <v>60.753796299763678</v>
      </c>
      <c r="J295" s="29">
        <v>0</v>
      </c>
      <c r="K295" s="29">
        <v>64.696708280471768</v>
      </c>
      <c r="L295" s="30">
        <v>0</v>
      </c>
      <c r="M295" s="30">
        <v>0</v>
      </c>
    </row>
    <row r="296" spans="2:13" x14ac:dyDescent="0.25">
      <c r="B296" s="27">
        <v>293</v>
      </c>
      <c r="C296" s="29">
        <v>49.44252559390096</v>
      </c>
      <c r="D296" s="29">
        <v>70.357978115927182</v>
      </c>
      <c r="E296" s="29">
        <v>61.66447214543016</v>
      </c>
      <c r="F296" s="29">
        <v>26.044003753743311</v>
      </c>
      <c r="G296" s="29">
        <v>0</v>
      </c>
      <c r="H296" s="29">
        <v>0</v>
      </c>
      <c r="I296" s="29">
        <v>43.256136626198739</v>
      </c>
      <c r="J296" s="29">
        <v>0</v>
      </c>
      <c r="K296" s="29">
        <v>54.83124218549154</v>
      </c>
      <c r="L296" s="30">
        <v>0</v>
      </c>
      <c r="M296" s="30">
        <v>0</v>
      </c>
    </row>
    <row r="297" spans="2:13" x14ac:dyDescent="0.25">
      <c r="B297" s="27">
        <v>294</v>
      </c>
      <c r="C297" s="29">
        <v>49.163859705555275</v>
      </c>
      <c r="D297" s="29">
        <v>80.41661343815106</v>
      </c>
      <c r="E297" s="29">
        <v>0</v>
      </c>
      <c r="F297" s="29">
        <v>60.27560339825051</v>
      </c>
      <c r="G297" s="29">
        <v>0</v>
      </c>
      <c r="H297" s="29">
        <v>0</v>
      </c>
      <c r="I297" s="29">
        <v>42.639415635428215</v>
      </c>
      <c r="J297" s="29">
        <v>0</v>
      </c>
      <c r="K297" s="29">
        <v>33.819405572312547</v>
      </c>
      <c r="L297" s="30">
        <v>0</v>
      </c>
      <c r="M297" s="30">
        <v>0</v>
      </c>
    </row>
    <row r="298" spans="2:13" x14ac:dyDescent="0.25">
      <c r="B298" s="27">
        <v>295</v>
      </c>
      <c r="C298" s="29">
        <v>41.231464275403468</v>
      </c>
      <c r="D298" s="29">
        <v>0</v>
      </c>
      <c r="E298" s="29">
        <v>0</v>
      </c>
      <c r="F298" s="29">
        <v>53.15365691801005</v>
      </c>
      <c r="G298" s="29">
        <v>0</v>
      </c>
      <c r="H298" s="29">
        <v>0</v>
      </c>
      <c r="I298" s="29">
        <v>49.56307271276453</v>
      </c>
      <c r="J298" s="29">
        <v>0</v>
      </c>
      <c r="K298" s="29">
        <v>0</v>
      </c>
      <c r="L298" s="30">
        <v>0</v>
      </c>
      <c r="M298" s="30">
        <v>0</v>
      </c>
    </row>
    <row r="299" spans="2:13" x14ac:dyDescent="0.25">
      <c r="B299" s="27">
        <v>296</v>
      </c>
      <c r="C299" s="29">
        <v>59.725179187330312</v>
      </c>
      <c r="D299" s="29">
        <v>87.215400998347675</v>
      </c>
      <c r="E299" s="29">
        <v>0</v>
      </c>
      <c r="F299" s="29">
        <v>54.506250651004997</v>
      </c>
      <c r="G299" s="29">
        <v>0</v>
      </c>
      <c r="H299" s="29">
        <v>0</v>
      </c>
      <c r="I299" s="29">
        <v>0</v>
      </c>
      <c r="J299" s="29">
        <v>0</v>
      </c>
      <c r="K299" s="29">
        <v>0</v>
      </c>
      <c r="L299" s="30">
        <v>0</v>
      </c>
      <c r="M299" s="30">
        <v>0</v>
      </c>
    </row>
    <row r="300" spans="2:13" x14ac:dyDescent="0.25">
      <c r="B300" s="27">
        <v>297</v>
      </c>
      <c r="C300" s="29">
        <v>31.481892408305605</v>
      </c>
      <c r="D300" s="29">
        <v>90.449089640600235</v>
      </c>
      <c r="E300" s="29">
        <v>122.64955911500435</v>
      </c>
      <c r="F300" s="29">
        <v>31.707601920120027</v>
      </c>
      <c r="G300" s="29">
        <v>0</v>
      </c>
      <c r="H300" s="29">
        <v>0</v>
      </c>
      <c r="I300" s="29">
        <v>31.082820728197689</v>
      </c>
      <c r="J300" s="29">
        <v>0</v>
      </c>
      <c r="K300" s="29">
        <v>0</v>
      </c>
      <c r="L300" s="30">
        <v>0</v>
      </c>
      <c r="M300" s="30">
        <v>0</v>
      </c>
    </row>
    <row r="301" spans="2:13" x14ac:dyDescent="0.25">
      <c r="B301" s="27">
        <v>298</v>
      </c>
      <c r="C301" s="29">
        <v>0</v>
      </c>
      <c r="D301" s="29">
        <v>58.637165637043552</v>
      </c>
      <c r="E301" s="29">
        <v>91.010401486026254</v>
      </c>
      <c r="F301" s="29">
        <v>26.860863791951488</v>
      </c>
      <c r="G301" s="29">
        <v>0</v>
      </c>
      <c r="H301" s="29">
        <v>0</v>
      </c>
      <c r="I301" s="29">
        <v>0</v>
      </c>
      <c r="J301" s="29">
        <v>58.381349124435751</v>
      </c>
      <c r="K301" s="29">
        <v>56.398264158866219</v>
      </c>
      <c r="L301" s="30">
        <v>0</v>
      </c>
      <c r="M301" s="30">
        <v>0</v>
      </c>
    </row>
    <row r="302" spans="2:13" x14ac:dyDescent="0.25">
      <c r="B302" s="27">
        <v>299</v>
      </c>
      <c r="C302" s="29">
        <v>0</v>
      </c>
      <c r="D302" s="29">
        <v>71.04237212196179</v>
      </c>
      <c r="E302" s="29">
        <v>0</v>
      </c>
      <c r="F302" s="29">
        <v>52.265820922934694</v>
      </c>
      <c r="G302" s="29">
        <v>0</v>
      </c>
      <c r="H302" s="29">
        <v>46.12063928214306</v>
      </c>
      <c r="I302" s="29">
        <v>0</v>
      </c>
      <c r="J302" s="29">
        <v>0</v>
      </c>
      <c r="K302" s="29">
        <v>0</v>
      </c>
      <c r="L302" s="30">
        <v>0</v>
      </c>
      <c r="M302" s="30">
        <v>0</v>
      </c>
    </row>
    <row r="303" spans="2:13" x14ac:dyDescent="0.25">
      <c r="B303" s="27">
        <v>300</v>
      </c>
      <c r="C303" s="29">
        <v>56.214359359685616</v>
      </c>
      <c r="D303" s="29">
        <v>59.325491310846616</v>
      </c>
      <c r="E303" s="29">
        <v>66.264629666487082</v>
      </c>
      <c r="F303" s="29">
        <v>47.55889659003374</v>
      </c>
      <c r="G303" s="29">
        <v>0</v>
      </c>
      <c r="H303" s="29">
        <v>0</v>
      </c>
      <c r="I303" s="29">
        <v>0</v>
      </c>
      <c r="J303" s="29">
        <v>0</v>
      </c>
      <c r="K303" s="29">
        <v>37.389547227518435</v>
      </c>
      <c r="L303" s="30">
        <v>0</v>
      </c>
      <c r="M303" s="30">
        <v>0</v>
      </c>
    </row>
    <row r="304" spans="2:13" x14ac:dyDescent="0.25">
      <c r="B304" s="27">
        <v>301</v>
      </c>
      <c r="C304" s="29">
        <v>28.445049170154522</v>
      </c>
      <c r="D304" s="29">
        <v>86.265930717411948</v>
      </c>
      <c r="E304" s="29">
        <v>0</v>
      </c>
      <c r="F304" s="29">
        <v>43.25280490003987</v>
      </c>
      <c r="G304" s="29">
        <v>51.838192437150759</v>
      </c>
      <c r="H304" s="29">
        <v>0</v>
      </c>
      <c r="I304" s="29">
        <v>0</v>
      </c>
      <c r="J304" s="29">
        <v>0</v>
      </c>
      <c r="K304" s="29">
        <v>39.147641150120251</v>
      </c>
      <c r="L304" s="30">
        <v>36.654453606605415</v>
      </c>
      <c r="M304" s="30">
        <v>0</v>
      </c>
    </row>
    <row r="305" spans="2:13" x14ac:dyDescent="0.25">
      <c r="B305" s="27">
        <v>302</v>
      </c>
      <c r="C305" s="29">
        <v>62.855639426532093</v>
      </c>
      <c r="D305" s="29">
        <v>67.988056765256971</v>
      </c>
      <c r="E305" s="29">
        <v>0</v>
      </c>
      <c r="F305" s="29">
        <v>45.413591578401487</v>
      </c>
      <c r="G305" s="29">
        <v>0</v>
      </c>
      <c r="H305" s="29">
        <v>0</v>
      </c>
      <c r="I305" s="29">
        <v>0</v>
      </c>
      <c r="J305" s="29">
        <v>0</v>
      </c>
      <c r="K305" s="29">
        <v>60.64789251333</v>
      </c>
      <c r="L305" s="30">
        <v>0</v>
      </c>
      <c r="M305" s="30">
        <v>0</v>
      </c>
    </row>
    <row r="306" spans="2:13" x14ac:dyDescent="0.25">
      <c r="B306" s="27">
        <v>303</v>
      </c>
      <c r="C306" s="29">
        <v>46.497414182393243</v>
      </c>
      <c r="D306" s="29">
        <v>74.858923142748239</v>
      </c>
      <c r="E306" s="29">
        <v>0</v>
      </c>
      <c r="F306" s="29">
        <v>43.24974202204065</v>
      </c>
      <c r="G306" s="29">
        <v>0</v>
      </c>
      <c r="H306" s="29">
        <v>0</v>
      </c>
      <c r="I306" s="29">
        <v>23.077863518486055</v>
      </c>
      <c r="J306" s="29">
        <v>0</v>
      </c>
      <c r="K306" s="29">
        <v>0</v>
      </c>
      <c r="L306" s="30">
        <v>0</v>
      </c>
      <c r="M306" s="30">
        <v>0</v>
      </c>
    </row>
    <row r="307" spans="2:13" x14ac:dyDescent="0.25">
      <c r="B307" s="27">
        <v>304</v>
      </c>
      <c r="C307" s="29">
        <v>35.977772156390024</v>
      </c>
      <c r="D307" s="29">
        <v>0</v>
      </c>
      <c r="E307" s="29">
        <v>104.90653867278928</v>
      </c>
      <c r="F307" s="29">
        <v>53.623808949762662</v>
      </c>
      <c r="G307" s="29">
        <v>0</v>
      </c>
      <c r="H307" s="29">
        <v>0</v>
      </c>
      <c r="I307" s="29">
        <v>35.276898270215824</v>
      </c>
      <c r="J307" s="29">
        <v>47.747459780300055</v>
      </c>
      <c r="K307" s="29">
        <v>57.617609057672908</v>
      </c>
      <c r="L307" s="30">
        <v>0</v>
      </c>
      <c r="M307" s="30">
        <v>0</v>
      </c>
    </row>
    <row r="308" spans="2:13" x14ac:dyDescent="0.25">
      <c r="B308" s="27">
        <v>305</v>
      </c>
      <c r="C308" s="29">
        <v>60.254871737905532</v>
      </c>
      <c r="D308" s="29">
        <v>58.981400924814992</v>
      </c>
      <c r="E308" s="29">
        <v>87.721172743104106</v>
      </c>
      <c r="F308" s="29">
        <v>0</v>
      </c>
      <c r="G308" s="29">
        <v>0</v>
      </c>
      <c r="H308" s="29">
        <v>0</v>
      </c>
      <c r="I308" s="29">
        <v>25.522575819595207</v>
      </c>
      <c r="J308" s="29">
        <v>0</v>
      </c>
      <c r="K308" s="29">
        <v>28.92895502604955</v>
      </c>
      <c r="L308" s="30">
        <v>0</v>
      </c>
      <c r="M308" s="30">
        <v>0</v>
      </c>
    </row>
    <row r="309" spans="2:13" x14ac:dyDescent="0.25">
      <c r="B309" s="27">
        <v>306</v>
      </c>
      <c r="C309" s="29">
        <v>48.158505352991341</v>
      </c>
      <c r="D309" s="29">
        <v>75.970392686758288</v>
      </c>
      <c r="E309" s="29">
        <v>0</v>
      </c>
      <c r="F309" s="29">
        <v>0</v>
      </c>
      <c r="G309" s="29">
        <v>0</v>
      </c>
      <c r="H309" s="29">
        <v>0</v>
      </c>
      <c r="I309" s="29">
        <v>0</v>
      </c>
      <c r="J309" s="29">
        <v>0</v>
      </c>
      <c r="K309" s="29">
        <v>40.165007193338433</v>
      </c>
      <c r="L309" s="30">
        <v>0</v>
      </c>
      <c r="M309" s="30">
        <v>0</v>
      </c>
    </row>
    <row r="310" spans="2:13" x14ac:dyDescent="0.25">
      <c r="B310" s="27">
        <v>307</v>
      </c>
      <c r="C310" s="29">
        <v>45.678700157421858</v>
      </c>
      <c r="D310" s="29">
        <v>0</v>
      </c>
      <c r="E310" s="29">
        <v>0</v>
      </c>
      <c r="F310" s="29">
        <v>47.29210586104162</v>
      </c>
      <c r="G310" s="29">
        <v>48.303636998523544</v>
      </c>
      <c r="H310" s="29">
        <v>0</v>
      </c>
      <c r="I310" s="29">
        <v>53.670131716141022</v>
      </c>
      <c r="J310" s="29">
        <v>0</v>
      </c>
      <c r="K310" s="29">
        <v>39.725985807199478</v>
      </c>
      <c r="L310" s="30">
        <v>46.854482132148163</v>
      </c>
      <c r="M310" s="30">
        <v>0</v>
      </c>
    </row>
    <row r="311" spans="2:13" x14ac:dyDescent="0.25">
      <c r="B311" s="27">
        <v>308</v>
      </c>
      <c r="C311" s="29">
        <v>0</v>
      </c>
      <c r="D311" s="29">
        <v>93.182425851899026</v>
      </c>
      <c r="E311" s="29">
        <v>0</v>
      </c>
      <c r="F311" s="29">
        <v>40.706955490476496</v>
      </c>
      <c r="G311" s="29">
        <v>0</v>
      </c>
      <c r="H311" s="29">
        <v>0</v>
      </c>
      <c r="I311" s="29">
        <v>0</v>
      </c>
      <c r="J311" s="29">
        <v>0</v>
      </c>
      <c r="K311" s="29">
        <v>38.498477662957193</v>
      </c>
      <c r="L311" s="30">
        <v>48.972378556286785</v>
      </c>
      <c r="M311" s="30">
        <v>0</v>
      </c>
    </row>
    <row r="312" spans="2:13" x14ac:dyDescent="0.25">
      <c r="B312" s="27">
        <v>309</v>
      </c>
      <c r="C312" s="29">
        <v>36.354909852536068</v>
      </c>
      <c r="D312" s="29">
        <v>58.716355464330576</v>
      </c>
      <c r="E312" s="29">
        <v>90.100232605737375</v>
      </c>
      <c r="F312" s="29">
        <v>39.022339826756678</v>
      </c>
      <c r="G312" s="29">
        <v>0</v>
      </c>
      <c r="H312" s="29">
        <v>0</v>
      </c>
      <c r="I312" s="29">
        <v>0</v>
      </c>
      <c r="J312" s="29">
        <v>0</v>
      </c>
      <c r="K312" s="29">
        <v>39.508319589478596</v>
      </c>
      <c r="L312" s="30">
        <v>0</v>
      </c>
      <c r="M312" s="30">
        <v>0</v>
      </c>
    </row>
    <row r="313" spans="2:13" x14ac:dyDescent="0.25">
      <c r="B313" s="27">
        <v>310</v>
      </c>
      <c r="C313" s="29">
        <v>63.774571206121792</v>
      </c>
      <c r="D313" s="29">
        <v>97.131152118429526</v>
      </c>
      <c r="E313" s="29">
        <v>0</v>
      </c>
      <c r="F313" s="29">
        <v>0</v>
      </c>
      <c r="G313" s="29">
        <v>0</v>
      </c>
      <c r="H313" s="29">
        <v>0</v>
      </c>
      <c r="I313" s="29">
        <v>0</v>
      </c>
      <c r="J313" s="29">
        <v>17.68669499309804</v>
      </c>
      <c r="K313" s="29">
        <v>0</v>
      </c>
      <c r="L313" s="30">
        <v>37.147837902701575</v>
      </c>
      <c r="M313" s="30">
        <v>0</v>
      </c>
    </row>
    <row r="314" spans="2:13" x14ac:dyDescent="0.25">
      <c r="B314" s="27">
        <v>311</v>
      </c>
      <c r="C314" s="29">
        <v>39.204931616112134</v>
      </c>
      <c r="D314" s="29">
        <v>62.4968299842646</v>
      </c>
      <c r="E314" s="29">
        <v>99.236842725115523</v>
      </c>
      <c r="F314" s="29">
        <v>50.992015493075748</v>
      </c>
      <c r="G314" s="29">
        <v>0</v>
      </c>
      <c r="H314" s="29">
        <v>0</v>
      </c>
      <c r="I314" s="29">
        <v>36.393429175875795</v>
      </c>
      <c r="J314" s="29">
        <v>0</v>
      </c>
      <c r="K314" s="29">
        <v>59.016407490841686</v>
      </c>
      <c r="L314" s="30">
        <v>0</v>
      </c>
      <c r="M314" s="30">
        <v>0</v>
      </c>
    </row>
    <row r="315" spans="2:13" x14ac:dyDescent="0.25">
      <c r="B315" s="27">
        <v>312</v>
      </c>
      <c r="C315" s="29">
        <v>47.473330835617361</v>
      </c>
      <c r="D315" s="29">
        <v>75.536261306275776</v>
      </c>
      <c r="E315" s="29">
        <v>0</v>
      </c>
      <c r="F315" s="29">
        <v>47.775557892841327</v>
      </c>
      <c r="G315" s="29">
        <v>0</v>
      </c>
      <c r="H315" s="29">
        <v>0</v>
      </c>
      <c r="I315" s="29">
        <v>0</v>
      </c>
      <c r="J315" s="29">
        <v>0</v>
      </c>
      <c r="K315" s="29">
        <v>56.753087619870136</v>
      </c>
      <c r="L315" s="30">
        <v>59.940137315876598</v>
      </c>
      <c r="M315" s="30">
        <v>0</v>
      </c>
    </row>
    <row r="316" spans="2:13" x14ac:dyDescent="0.25">
      <c r="B316" s="27">
        <v>313</v>
      </c>
      <c r="C316" s="29">
        <v>0</v>
      </c>
      <c r="D316" s="29">
        <v>0</v>
      </c>
      <c r="E316" s="29">
        <v>78.442639682145042</v>
      </c>
      <c r="F316" s="29">
        <v>35.011990564633706</v>
      </c>
      <c r="G316" s="29">
        <v>0</v>
      </c>
      <c r="H316" s="29">
        <v>0</v>
      </c>
      <c r="I316" s="29">
        <v>0</v>
      </c>
      <c r="J316" s="29">
        <v>40.039573769428571</v>
      </c>
      <c r="K316" s="29">
        <v>58.690347063753499</v>
      </c>
      <c r="L316" s="30">
        <v>0</v>
      </c>
      <c r="M316" s="30">
        <v>0</v>
      </c>
    </row>
    <row r="317" spans="2:13" x14ac:dyDescent="0.25">
      <c r="B317" s="27">
        <v>314</v>
      </c>
      <c r="C317" s="29">
        <v>25.586552593499821</v>
      </c>
      <c r="D317" s="29">
        <v>0</v>
      </c>
      <c r="E317" s="29">
        <v>68.012751828522738</v>
      </c>
      <c r="F317" s="29">
        <v>57.176261567266735</v>
      </c>
      <c r="G317" s="29">
        <v>0</v>
      </c>
      <c r="H317" s="29">
        <v>0</v>
      </c>
      <c r="I317" s="29">
        <v>68.051859994117109</v>
      </c>
      <c r="J317" s="29">
        <v>0</v>
      </c>
      <c r="K317" s="29">
        <v>0</v>
      </c>
      <c r="L317" s="30">
        <v>0</v>
      </c>
      <c r="M317" s="30">
        <v>0</v>
      </c>
    </row>
    <row r="318" spans="2:13" x14ac:dyDescent="0.25">
      <c r="B318" s="27">
        <v>315</v>
      </c>
      <c r="C318" s="29">
        <v>49.58543898087477</v>
      </c>
      <c r="D318" s="29">
        <v>61.933594129331574</v>
      </c>
      <c r="E318" s="29">
        <v>0</v>
      </c>
      <c r="F318" s="29">
        <v>46.897071365236229</v>
      </c>
      <c r="G318" s="29">
        <v>0</v>
      </c>
      <c r="H318" s="29">
        <v>0</v>
      </c>
      <c r="I318" s="29">
        <v>34.944793373183103</v>
      </c>
      <c r="J318" s="29">
        <v>0</v>
      </c>
      <c r="K318" s="29">
        <v>0</v>
      </c>
      <c r="L318" s="30">
        <v>0</v>
      </c>
      <c r="M318" s="30">
        <v>0</v>
      </c>
    </row>
    <row r="319" spans="2:13" x14ac:dyDescent="0.25">
      <c r="B319" s="27">
        <v>316</v>
      </c>
      <c r="C319" s="29">
        <v>31.124520314869642</v>
      </c>
      <c r="D319" s="29">
        <v>87.278671467817119</v>
      </c>
      <c r="E319" s="29">
        <v>95.964140929855915</v>
      </c>
      <c r="F319" s="29">
        <v>24.814949326253341</v>
      </c>
      <c r="G319" s="29">
        <v>43.139861698303669</v>
      </c>
      <c r="H319" s="29">
        <v>0</v>
      </c>
      <c r="I319" s="29">
        <v>0</v>
      </c>
      <c r="J319" s="29">
        <v>0</v>
      </c>
      <c r="K319" s="29">
        <v>52.155621347962231</v>
      </c>
      <c r="L319" s="30">
        <v>0</v>
      </c>
      <c r="M319" s="30">
        <v>0</v>
      </c>
    </row>
    <row r="320" spans="2:13" x14ac:dyDescent="0.25">
      <c r="B320" s="27">
        <v>317</v>
      </c>
      <c r="C320" s="29">
        <v>0</v>
      </c>
      <c r="D320" s="29">
        <v>74.886437222841465</v>
      </c>
      <c r="E320" s="29">
        <v>104.35298924507808</v>
      </c>
      <c r="F320" s="29">
        <v>26.83903117924315</v>
      </c>
      <c r="G320" s="29">
        <v>0</v>
      </c>
      <c r="H320" s="29">
        <v>0</v>
      </c>
      <c r="I320" s="29">
        <v>0</v>
      </c>
      <c r="J320" s="29">
        <v>0</v>
      </c>
      <c r="K320" s="29">
        <v>37.967553768987116</v>
      </c>
      <c r="L320" s="30">
        <v>55.823883698119211</v>
      </c>
      <c r="M320" s="30">
        <v>0</v>
      </c>
    </row>
    <row r="321" spans="2:13" x14ac:dyDescent="0.25">
      <c r="B321" s="27">
        <v>318</v>
      </c>
      <c r="C321" s="29">
        <v>51.678606594210677</v>
      </c>
      <c r="D321" s="29">
        <v>74.896091223446859</v>
      </c>
      <c r="E321" s="29">
        <v>65.251527691335085</v>
      </c>
      <c r="F321" s="29">
        <v>52.479711763351247</v>
      </c>
      <c r="G321" s="29">
        <v>31.469652576819488</v>
      </c>
      <c r="H321" s="29">
        <v>0</v>
      </c>
      <c r="I321" s="29">
        <v>0</v>
      </c>
      <c r="J321" s="29">
        <v>55.053723330856634</v>
      </c>
      <c r="K321" s="29">
        <v>26.072511545499115</v>
      </c>
      <c r="L321" s="30">
        <v>33.808507412264618</v>
      </c>
      <c r="M321" s="30">
        <v>0</v>
      </c>
    </row>
    <row r="322" spans="2:13" x14ac:dyDescent="0.25">
      <c r="B322" s="27">
        <v>319</v>
      </c>
      <c r="C322" s="29">
        <v>23.589500329305416</v>
      </c>
      <c r="D322" s="29">
        <v>0</v>
      </c>
      <c r="E322" s="29">
        <v>120.12266276191005</v>
      </c>
      <c r="F322" s="29">
        <v>28.026384345737146</v>
      </c>
      <c r="G322" s="29">
        <v>0</v>
      </c>
      <c r="H322" s="29">
        <v>0</v>
      </c>
      <c r="I322" s="29">
        <v>0</v>
      </c>
      <c r="J322" s="29">
        <v>0</v>
      </c>
      <c r="K322" s="29">
        <v>59.443417629764355</v>
      </c>
      <c r="L322" s="30">
        <v>0</v>
      </c>
      <c r="M322" s="30">
        <v>0</v>
      </c>
    </row>
    <row r="323" spans="2:13" x14ac:dyDescent="0.25">
      <c r="B323" s="27">
        <v>320</v>
      </c>
      <c r="C323" s="29">
        <v>16.944068238340751</v>
      </c>
      <c r="D323" s="29">
        <v>74.756113982541478</v>
      </c>
      <c r="E323" s="29">
        <v>104.38532571083604</v>
      </c>
      <c r="F323" s="29">
        <v>43.136947501944363</v>
      </c>
      <c r="G323" s="29">
        <v>0</v>
      </c>
      <c r="H323" s="29">
        <v>0</v>
      </c>
      <c r="I323" s="29">
        <v>53.331146865612027</v>
      </c>
      <c r="J323" s="29">
        <v>23.473579141852102</v>
      </c>
      <c r="K323" s="29">
        <v>57.948590849389305</v>
      </c>
      <c r="L323" s="30">
        <v>0</v>
      </c>
      <c r="M323" s="30">
        <v>0</v>
      </c>
    </row>
    <row r="324" spans="2:13" x14ac:dyDescent="0.25">
      <c r="B324" s="27">
        <v>321</v>
      </c>
      <c r="C324" s="29">
        <v>0</v>
      </c>
      <c r="D324" s="29">
        <v>82.752314106608267</v>
      </c>
      <c r="E324" s="29">
        <v>0</v>
      </c>
      <c r="F324" s="29">
        <v>0</v>
      </c>
      <c r="G324" s="29">
        <v>0</v>
      </c>
      <c r="H324" s="29">
        <v>0</v>
      </c>
      <c r="I324" s="29">
        <v>0</v>
      </c>
      <c r="J324" s="29">
        <v>0</v>
      </c>
      <c r="K324" s="29">
        <v>51.164163256559419</v>
      </c>
      <c r="L324" s="30">
        <v>0</v>
      </c>
      <c r="M324" s="30">
        <v>0</v>
      </c>
    </row>
    <row r="325" spans="2:13" x14ac:dyDescent="0.25">
      <c r="B325" s="27">
        <v>322</v>
      </c>
      <c r="C325" s="29">
        <v>0</v>
      </c>
      <c r="D325" s="29">
        <v>72.840292889022535</v>
      </c>
      <c r="E325" s="29">
        <v>92.760956509927837</v>
      </c>
      <c r="F325" s="29">
        <v>35.88800169940157</v>
      </c>
      <c r="G325" s="29">
        <v>0</v>
      </c>
      <c r="H325" s="29">
        <v>0</v>
      </c>
      <c r="I325" s="29">
        <v>0</v>
      </c>
      <c r="J325" s="29">
        <v>0</v>
      </c>
      <c r="K325" s="29">
        <v>49.463233721811179</v>
      </c>
      <c r="L325" s="30">
        <v>0</v>
      </c>
      <c r="M325" s="30">
        <v>0</v>
      </c>
    </row>
    <row r="326" spans="2:13" x14ac:dyDescent="0.25">
      <c r="B326" s="27">
        <v>323</v>
      </c>
      <c r="C326" s="29">
        <v>38.585915407544981</v>
      </c>
      <c r="D326" s="29">
        <v>86.91034190345043</v>
      </c>
      <c r="E326" s="29">
        <v>113.4739942670523</v>
      </c>
      <c r="F326" s="29">
        <v>53.308714162047082</v>
      </c>
      <c r="G326" s="29">
        <v>0</v>
      </c>
      <c r="H326" s="29">
        <v>18.995185600841886</v>
      </c>
      <c r="I326" s="29">
        <v>0</v>
      </c>
      <c r="J326" s="29">
        <v>0</v>
      </c>
      <c r="K326" s="29">
        <v>66.627613096617566</v>
      </c>
      <c r="L326" s="30">
        <v>51.864178665549773</v>
      </c>
      <c r="M326" s="30">
        <v>0</v>
      </c>
    </row>
    <row r="327" spans="2:13" x14ac:dyDescent="0.25">
      <c r="B327" s="27">
        <v>324</v>
      </c>
      <c r="C327" s="29">
        <v>47.209337449530743</v>
      </c>
      <c r="D327" s="29">
        <v>72.928296332521427</v>
      </c>
      <c r="E327" s="29">
        <v>0</v>
      </c>
      <c r="F327" s="29">
        <v>0</v>
      </c>
      <c r="G327" s="29">
        <v>0</v>
      </c>
      <c r="H327" s="29">
        <v>19.287400258315738</v>
      </c>
      <c r="I327" s="29">
        <v>0</v>
      </c>
      <c r="J327" s="29">
        <v>0</v>
      </c>
      <c r="K327" s="29">
        <v>56.52814788518252</v>
      </c>
      <c r="L327" s="30">
        <v>0</v>
      </c>
      <c r="M327" s="30">
        <v>0</v>
      </c>
    </row>
    <row r="328" spans="2:13" x14ac:dyDescent="0.25">
      <c r="B328" s="27">
        <v>325</v>
      </c>
      <c r="C328" s="29">
        <v>49.684748941296355</v>
      </c>
      <c r="D328" s="29">
        <v>56.940917678527626</v>
      </c>
      <c r="E328" s="29">
        <v>140.22298223465134</v>
      </c>
      <c r="F328" s="29">
        <v>0</v>
      </c>
      <c r="G328" s="29">
        <v>0</v>
      </c>
      <c r="H328" s="29">
        <v>0</v>
      </c>
      <c r="I328" s="29">
        <v>18.984413325205196</v>
      </c>
      <c r="J328" s="29">
        <v>0</v>
      </c>
      <c r="K328" s="29">
        <v>60.677730720575269</v>
      </c>
      <c r="L328" s="30">
        <v>0</v>
      </c>
      <c r="M328" s="30">
        <v>0</v>
      </c>
    </row>
    <row r="329" spans="2:13" x14ac:dyDescent="0.25">
      <c r="B329" s="27">
        <v>326</v>
      </c>
      <c r="C329" s="29">
        <v>0</v>
      </c>
      <c r="D329" s="29">
        <v>76.754033649419256</v>
      </c>
      <c r="E329" s="29">
        <v>78.130757616503018</v>
      </c>
      <c r="F329" s="29">
        <v>50.979865738868952</v>
      </c>
      <c r="G329" s="29">
        <v>0</v>
      </c>
      <c r="H329" s="29">
        <v>0</v>
      </c>
      <c r="I329" s="29">
        <v>0</v>
      </c>
      <c r="J329" s="29">
        <v>0</v>
      </c>
      <c r="K329" s="29">
        <v>48.829243269618026</v>
      </c>
      <c r="L329" s="30">
        <v>0</v>
      </c>
      <c r="M329" s="30">
        <v>0</v>
      </c>
    </row>
    <row r="330" spans="2:13" x14ac:dyDescent="0.25">
      <c r="B330" s="27">
        <v>327</v>
      </c>
      <c r="C330" s="29">
        <v>56.264168489898928</v>
      </c>
      <c r="D330" s="29">
        <v>0</v>
      </c>
      <c r="E330" s="29">
        <v>0</v>
      </c>
      <c r="F330" s="29">
        <v>61.312642593826396</v>
      </c>
      <c r="G330" s="29">
        <v>0</v>
      </c>
      <c r="H330" s="29">
        <v>0</v>
      </c>
      <c r="I330" s="29">
        <v>0</v>
      </c>
      <c r="J330" s="29">
        <v>0</v>
      </c>
      <c r="K330" s="29">
        <v>36.093870831905868</v>
      </c>
      <c r="L330" s="30">
        <v>0</v>
      </c>
      <c r="M330" s="30">
        <v>0</v>
      </c>
    </row>
    <row r="331" spans="2:13" x14ac:dyDescent="0.25">
      <c r="B331" s="27">
        <v>328</v>
      </c>
      <c r="C331" s="29">
        <v>15.006113618612208</v>
      </c>
      <c r="D331" s="29">
        <v>65.779182999055479</v>
      </c>
      <c r="E331" s="29">
        <v>0</v>
      </c>
      <c r="F331" s="29">
        <v>42.233574068648949</v>
      </c>
      <c r="G331" s="29">
        <v>0</v>
      </c>
      <c r="H331" s="29">
        <v>0</v>
      </c>
      <c r="I331" s="29">
        <v>0</v>
      </c>
      <c r="J331" s="29">
        <v>0</v>
      </c>
      <c r="K331" s="29">
        <v>51.37197967307614</v>
      </c>
      <c r="L331" s="30">
        <v>0</v>
      </c>
      <c r="M331" s="30">
        <v>0</v>
      </c>
    </row>
    <row r="332" spans="2:13" x14ac:dyDescent="0.25">
      <c r="B332" s="27">
        <v>329</v>
      </c>
      <c r="C332" s="29">
        <v>0</v>
      </c>
      <c r="D332" s="29">
        <v>69.876522490125183</v>
      </c>
      <c r="E332" s="29">
        <v>67.457442886849776</v>
      </c>
      <c r="F332" s="29">
        <v>55.484301084610877</v>
      </c>
      <c r="G332" s="29">
        <v>35.124561814924093</v>
      </c>
      <c r="H332" s="29">
        <v>60.377738231988033</v>
      </c>
      <c r="I332" s="29">
        <v>0</v>
      </c>
      <c r="J332" s="29">
        <v>0</v>
      </c>
      <c r="K332" s="29">
        <v>55.595319830490403</v>
      </c>
      <c r="L332" s="30">
        <v>64.847893183750585</v>
      </c>
      <c r="M332" s="30">
        <v>0</v>
      </c>
    </row>
    <row r="333" spans="2:13" x14ac:dyDescent="0.25">
      <c r="B333" s="27">
        <v>330</v>
      </c>
      <c r="C333" s="29">
        <v>15.281077626721506</v>
      </c>
      <c r="D333" s="29">
        <v>63.067273054016788</v>
      </c>
      <c r="E333" s="29">
        <v>0</v>
      </c>
      <c r="F333" s="29">
        <v>34.677268442097727</v>
      </c>
      <c r="G333" s="29">
        <v>30.998118707027764</v>
      </c>
      <c r="H333" s="29">
        <v>0</v>
      </c>
      <c r="I333" s="29">
        <v>32.928406471304605</v>
      </c>
      <c r="J333" s="29">
        <v>0</v>
      </c>
      <c r="K333" s="29">
        <v>23.710061093315915</v>
      </c>
      <c r="L333" s="30">
        <v>0</v>
      </c>
      <c r="M333" s="30">
        <v>0</v>
      </c>
    </row>
    <row r="334" spans="2:13" x14ac:dyDescent="0.25">
      <c r="B334" s="27">
        <v>331</v>
      </c>
      <c r="C334" s="29">
        <v>43.279186892725839</v>
      </c>
      <c r="D334" s="29">
        <v>79.495411142234929</v>
      </c>
      <c r="E334" s="29">
        <v>85.198496503675088</v>
      </c>
      <c r="F334" s="29">
        <v>24.300029499855874</v>
      </c>
      <c r="G334" s="29">
        <v>0</v>
      </c>
      <c r="H334" s="29">
        <v>0</v>
      </c>
      <c r="I334" s="29">
        <v>67.685470038559004</v>
      </c>
      <c r="J334" s="29">
        <v>0</v>
      </c>
      <c r="K334" s="29">
        <v>37.968004835299396</v>
      </c>
      <c r="L334" s="30">
        <v>0</v>
      </c>
      <c r="M334" s="30">
        <v>0</v>
      </c>
    </row>
    <row r="335" spans="2:13" x14ac:dyDescent="0.25">
      <c r="B335" s="27">
        <v>332</v>
      </c>
      <c r="C335" s="29">
        <v>42.626157399993112</v>
      </c>
      <c r="D335" s="29">
        <v>63.624675436089142</v>
      </c>
      <c r="E335" s="29">
        <v>126.69380945854719</v>
      </c>
      <c r="F335" s="29">
        <v>58.933869605954712</v>
      </c>
      <c r="G335" s="29">
        <v>0</v>
      </c>
      <c r="H335" s="29">
        <v>0</v>
      </c>
      <c r="I335" s="29">
        <v>49.380721589695554</v>
      </c>
      <c r="J335" s="29">
        <v>0</v>
      </c>
      <c r="K335" s="29">
        <v>39.559174211161839</v>
      </c>
      <c r="L335" s="30">
        <v>0</v>
      </c>
      <c r="M335" s="30">
        <v>0</v>
      </c>
    </row>
    <row r="336" spans="2:13" x14ac:dyDescent="0.25">
      <c r="B336" s="27">
        <v>333</v>
      </c>
      <c r="C336" s="29">
        <v>24.735153772967223</v>
      </c>
      <c r="D336" s="29">
        <v>79.223263026818842</v>
      </c>
      <c r="E336" s="29">
        <v>119.963633123953</v>
      </c>
      <c r="F336" s="29">
        <v>32.034550422191622</v>
      </c>
      <c r="G336" s="29">
        <v>0</v>
      </c>
      <c r="H336" s="29">
        <v>0</v>
      </c>
      <c r="I336" s="29">
        <v>0</v>
      </c>
      <c r="J336" s="29">
        <v>46.839133435460674</v>
      </c>
      <c r="K336" s="29">
        <v>31.922378892306853</v>
      </c>
      <c r="L336" s="30">
        <v>0</v>
      </c>
      <c r="M336" s="30">
        <v>0</v>
      </c>
    </row>
    <row r="337" spans="2:13" x14ac:dyDescent="0.25">
      <c r="B337" s="27">
        <v>334</v>
      </c>
      <c r="C337" s="29">
        <v>45.830566375395911</v>
      </c>
      <c r="D337" s="29">
        <v>75.162536952799755</v>
      </c>
      <c r="E337" s="29">
        <v>72.458181245590552</v>
      </c>
      <c r="F337" s="29">
        <v>0</v>
      </c>
      <c r="G337" s="29">
        <v>0</v>
      </c>
      <c r="H337" s="29">
        <v>0</v>
      </c>
      <c r="I337" s="29">
        <v>64.172419333998775</v>
      </c>
      <c r="J337" s="29">
        <v>0</v>
      </c>
      <c r="K337" s="29">
        <v>0</v>
      </c>
      <c r="L337" s="30">
        <v>0</v>
      </c>
      <c r="M337" s="30">
        <v>0</v>
      </c>
    </row>
    <row r="338" spans="2:13" x14ac:dyDescent="0.25">
      <c r="B338" s="27">
        <v>335</v>
      </c>
      <c r="C338" s="29">
        <v>59.58197987533601</v>
      </c>
      <c r="D338" s="29">
        <v>61.823637078790881</v>
      </c>
      <c r="E338" s="29">
        <v>0</v>
      </c>
      <c r="F338" s="29">
        <v>44.710206689971585</v>
      </c>
      <c r="G338" s="29">
        <v>0</v>
      </c>
      <c r="H338" s="29">
        <v>0</v>
      </c>
      <c r="I338" s="29">
        <v>0</v>
      </c>
      <c r="J338" s="29">
        <v>0</v>
      </c>
      <c r="K338" s="29">
        <v>29.027420934542828</v>
      </c>
      <c r="L338" s="30">
        <v>0</v>
      </c>
      <c r="M338" s="30">
        <v>0</v>
      </c>
    </row>
    <row r="339" spans="2:13" x14ac:dyDescent="0.25">
      <c r="B339" s="27">
        <v>336</v>
      </c>
      <c r="C339" s="29">
        <v>39.616039688559063</v>
      </c>
      <c r="D339" s="29">
        <v>63.513110119837926</v>
      </c>
      <c r="E339" s="29">
        <v>96.254596466468854</v>
      </c>
      <c r="F339" s="29">
        <v>62.142439380783657</v>
      </c>
      <c r="G339" s="29">
        <v>53.070715826652645</v>
      </c>
      <c r="H339" s="29">
        <v>0</v>
      </c>
      <c r="I339" s="29">
        <v>28.197503182769022</v>
      </c>
      <c r="J339" s="29">
        <v>0</v>
      </c>
      <c r="K339" s="29">
        <v>48.485193423867464</v>
      </c>
      <c r="L339" s="30">
        <v>0</v>
      </c>
      <c r="M339" s="30">
        <v>0</v>
      </c>
    </row>
    <row r="340" spans="2:13" x14ac:dyDescent="0.25">
      <c r="B340" s="27">
        <v>337</v>
      </c>
      <c r="C340" s="29">
        <v>43.930966749825046</v>
      </c>
      <c r="D340" s="29">
        <v>85.552355470562858</v>
      </c>
      <c r="E340" s="29">
        <v>0</v>
      </c>
      <c r="F340" s="29">
        <v>0</v>
      </c>
      <c r="G340" s="29">
        <v>0</v>
      </c>
      <c r="H340" s="29">
        <v>21.319627890873782</v>
      </c>
      <c r="I340" s="29">
        <v>0</v>
      </c>
      <c r="J340" s="29">
        <v>0</v>
      </c>
      <c r="K340" s="29">
        <v>51.333197793118146</v>
      </c>
      <c r="L340" s="30">
        <v>0</v>
      </c>
      <c r="M340" s="30">
        <v>0</v>
      </c>
    </row>
    <row r="341" spans="2:13" x14ac:dyDescent="0.25">
      <c r="B341" s="27">
        <v>338</v>
      </c>
      <c r="C341" s="29">
        <v>61.576732726723684</v>
      </c>
      <c r="D341" s="29">
        <v>0</v>
      </c>
      <c r="E341" s="29">
        <v>0</v>
      </c>
      <c r="F341" s="29">
        <v>58.401995958669282</v>
      </c>
      <c r="G341" s="29">
        <v>0</v>
      </c>
      <c r="H341" s="29">
        <v>43.566886073982246</v>
      </c>
      <c r="I341" s="29">
        <v>52.216500299473552</v>
      </c>
      <c r="J341" s="29">
        <v>0</v>
      </c>
      <c r="K341" s="29">
        <v>51.194262278824638</v>
      </c>
      <c r="L341" s="30">
        <v>0</v>
      </c>
      <c r="M341" s="30">
        <v>0</v>
      </c>
    </row>
    <row r="342" spans="2:13" x14ac:dyDescent="0.25">
      <c r="B342" s="27">
        <v>339</v>
      </c>
      <c r="C342" s="29">
        <v>39.500391763750841</v>
      </c>
      <c r="D342" s="29">
        <v>64.294907486360572</v>
      </c>
      <c r="E342" s="29">
        <v>0</v>
      </c>
      <c r="F342" s="29">
        <v>63.875388590305903</v>
      </c>
      <c r="G342" s="29">
        <v>0</v>
      </c>
      <c r="H342" s="29">
        <v>0</v>
      </c>
      <c r="I342" s="29">
        <v>0</v>
      </c>
      <c r="J342" s="29">
        <v>0</v>
      </c>
      <c r="K342" s="29">
        <v>55.514313010443246</v>
      </c>
      <c r="L342" s="30">
        <v>0</v>
      </c>
      <c r="M342" s="30">
        <v>0</v>
      </c>
    </row>
    <row r="343" spans="2:13" x14ac:dyDescent="0.25">
      <c r="B343" s="27">
        <v>340</v>
      </c>
      <c r="C343" s="29">
        <v>40.109657427525491</v>
      </c>
      <c r="D343" s="29">
        <v>61.095828135854973</v>
      </c>
      <c r="E343" s="29">
        <v>83.024676711191361</v>
      </c>
      <c r="F343" s="29">
        <v>51.633542030398104</v>
      </c>
      <c r="G343" s="29">
        <v>0</v>
      </c>
      <c r="H343" s="29">
        <v>0</v>
      </c>
      <c r="I343" s="29">
        <v>0</v>
      </c>
      <c r="J343" s="29">
        <v>0</v>
      </c>
      <c r="K343" s="29">
        <v>36.390947017055979</v>
      </c>
      <c r="L343" s="30">
        <v>0</v>
      </c>
      <c r="M343" s="30">
        <v>0</v>
      </c>
    </row>
    <row r="344" spans="2:13" x14ac:dyDescent="0.25">
      <c r="B344" s="27">
        <v>341</v>
      </c>
      <c r="C344" s="29">
        <v>26.893832659271649</v>
      </c>
      <c r="D344" s="29">
        <v>78.86451884136963</v>
      </c>
      <c r="E344" s="29">
        <v>82.122515371216394</v>
      </c>
      <c r="F344" s="29">
        <v>37.017898614011997</v>
      </c>
      <c r="G344" s="29">
        <v>0</v>
      </c>
      <c r="H344" s="29">
        <v>0</v>
      </c>
      <c r="I344" s="29">
        <v>53.953917701786871</v>
      </c>
      <c r="J344" s="29">
        <v>0</v>
      </c>
      <c r="K344" s="29">
        <v>37.777737631091995</v>
      </c>
      <c r="L344" s="30">
        <v>0</v>
      </c>
      <c r="M344" s="30">
        <v>0</v>
      </c>
    </row>
    <row r="345" spans="2:13" x14ac:dyDescent="0.25">
      <c r="B345" s="27">
        <v>342</v>
      </c>
      <c r="C345" s="29">
        <v>51.629545803566231</v>
      </c>
      <c r="D345" s="29">
        <v>77.322217938949493</v>
      </c>
      <c r="E345" s="29">
        <v>82.497024357829815</v>
      </c>
      <c r="F345" s="29">
        <v>58.526752822007396</v>
      </c>
      <c r="G345" s="29">
        <v>0</v>
      </c>
      <c r="H345" s="29">
        <v>0</v>
      </c>
      <c r="I345" s="29">
        <v>0</v>
      </c>
      <c r="J345" s="29">
        <v>38.212237837412971</v>
      </c>
      <c r="K345" s="29">
        <v>26.019255445534029</v>
      </c>
      <c r="L345" s="30">
        <v>0</v>
      </c>
      <c r="M345" s="30">
        <v>0</v>
      </c>
    </row>
    <row r="346" spans="2:13" x14ac:dyDescent="0.25">
      <c r="B346" s="27">
        <v>343</v>
      </c>
      <c r="C346" s="29">
        <v>37.274430824748237</v>
      </c>
      <c r="D346" s="29">
        <v>61.513849238302136</v>
      </c>
      <c r="E346" s="29">
        <v>70.272501959228876</v>
      </c>
      <c r="F346" s="29">
        <v>49.287698118947816</v>
      </c>
      <c r="G346" s="29">
        <v>0</v>
      </c>
      <c r="H346" s="29">
        <v>0</v>
      </c>
      <c r="I346" s="29">
        <v>62.018420381003175</v>
      </c>
      <c r="J346" s="29">
        <v>0</v>
      </c>
      <c r="K346" s="29">
        <v>23.846100849499493</v>
      </c>
      <c r="L346" s="30">
        <v>0</v>
      </c>
      <c r="M346" s="30">
        <v>0</v>
      </c>
    </row>
    <row r="347" spans="2:13" x14ac:dyDescent="0.25">
      <c r="B347" s="27">
        <v>344</v>
      </c>
      <c r="C347" s="29">
        <v>29.335212163781062</v>
      </c>
      <c r="D347" s="29">
        <v>81.538789164117318</v>
      </c>
      <c r="E347" s="29">
        <v>0</v>
      </c>
      <c r="F347" s="29">
        <v>0</v>
      </c>
      <c r="G347" s="29">
        <v>0</v>
      </c>
      <c r="H347" s="29">
        <v>34.619239141573786</v>
      </c>
      <c r="I347" s="29">
        <v>0</v>
      </c>
      <c r="J347" s="29">
        <v>0</v>
      </c>
      <c r="K347" s="29">
        <v>31.418134365118252</v>
      </c>
      <c r="L347" s="30">
        <v>0</v>
      </c>
      <c r="M347" s="30">
        <v>0</v>
      </c>
    </row>
    <row r="348" spans="2:13" x14ac:dyDescent="0.25">
      <c r="B348" s="27">
        <v>345</v>
      </c>
      <c r="C348" s="29">
        <v>49.38095958979892</v>
      </c>
      <c r="D348" s="29">
        <v>65.433515932933332</v>
      </c>
      <c r="E348" s="29">
        <v>0</v>
      </c>
      <c r="F348" s="29">
        <v>0</v>
      </c>
      <c r="G348" s="29">
        <v>0</v>
      </c>
      <c r="H348" s="29">
        <v>0</v>
      </c>
      <c r="I348" s="29">
        <v>0</v>
      </c>
      <c r="J348" s="29">
        <v>37.900810001367645</v>
      </c>
      <c r="K348" s="29">
        <v>59.118492817514827</v>
      </c>
      <c r="L348" s="30">
        <v>0</v>
      </c>
      <c r="M348" s="30">
        <v>0</v>
      </c>
    </row>
    <row r="349" spans="2:13" x14ac:dyDescent="0.25">
      <c r="B349" s="27">
        <v>346</v>
      </c>
      <c r="C349" s="29">
        <v>45.526161693632254</v>
      </c>
      <c r="D349" s="29">
        <v>81.271817026836601</v>
      </c>
      <c r="E349" s="29">
        <v>123.13659321391792</v>
      </c>
      <c r="F349" s="29">
        <v>46.646862730199302</v>
      </c>
      <c r="G349" s="29">
        <v>0</v>
      </c>
      <c r="H349" s="29">
        <v>0</v>
      </c>
      <c r="I349" s="29">
        <v>52.958156418755273</v>
      </c>
      <c r="J349" s="29">
        <v>0</v>
      </c>
      <c r="K349" s="29">
        <v>44.010438543306449</v>
      </c>
      <c r="L349" s="30">
        <v>0</v>
      </c>
      <c r="M349" s="30">
        <v>0</v>
      </c>
    </row>
    <row r="350" spans="2:13" x14ac:dyDescent="0.25">
      <c r="B350" s="27">
        <v>347</v>
      </c>
      <c r="C350" s="29">
        <v>48.389250258429861</v>
      </c>
      <c r="D350" s="29">
        <v>0</v>
      </c>
      <c r="E350" s="29">
        <v>96.884028918140459</v>
      </c>
      <c r="F350" s="29">
        <v>49.100006109749117</v>
      </c>
      <c r="G350" s="29">
        <v>0</v>
      </c>
      <c r="H350" s="29">
        <v>0</v>
      </c>
      <c r="I350" s="29">
        <v>0</v>
      </c>
      <c r="J350" s="29">
        <v>0</v>
      </c>
      <c r="K350" s="29">
        <v>51.098653859898647</v>
      </c>
      <c r="L350" s="30">
        <v>0</v>
      </c>
      <c r="M350" s="30">
        <v>0</v>
      </c>
    </row>
    <row r="351" spans="2:13" x14ac:dyDescent="0.25">
      <c r="B351" s="27">
        <v>348</v>
      </c>
      <c r="C351" s="29">
        <v>31.28959318310255</v>
      </c>
      <c r="D351" s="29">
        <v>91.065676548036819</v>
      </c>
      <c r="E351" s="29">
        <v>105.33402169518564</v>
      </c>
      <c r="F351" s="29">
        <v>51.346698519095455</v>
      </c>
      <c r="G351" s="29">
        <v>0</v>
      </c>
      <c r="H351" s="29">
        <v>0</v>
      </c>
      <c r="I351" s="29">
        <v>0</v>
      </c>
      <c r="J351" s="29">
        <v>0</v>
      </c>
      <c r="K351" s="29">
        <v>55.843618672491345</v>
      </c>
      <c r="L351" s="30">
        <v>0</v>
      </c>
      <c r="M351" s="30">
        <v>0</v>
      </c>
    </row>
    <row r="352" spans="2:13" x14ac:dyDescent="0.25">
      <c r="B352" s="27">
        <v>349</v>
      </c>
      <c r="C352" s="29">
        <v>35.677096022322651</v>
      </c>
      <c r="D352" s="29">
        <v>76.129416018127003</v>
      </c>
      <c r="E352" s="29">
        <v>90.267181181056969</v>
      </c>
      <c r="F352" s="29">
        <v>61.838410062144426</v>
      </c>
      <c r="G352" s="29">
        <v>0</v>
      </c>
      <c r="H352" s="29">
        <v>55.582494319803445</v>
      </c>
      <c r="I352" s="29">
        <v>0</v>
      </c>
      <c r="J352" s="29">
        <v>0</v>
      </c>
      <c r="K352" s="29">
        <v>38.467627796282031</v>
      </c>
      <c r="L352" s="30">
        <v>0</v>
      </c>
      <c r="M352" s="30">
        <v>0</v>
      </c>
    </row>
    <row r="353" spans="2:13" x14ac:dyDescent="0.25">
      <c r="B353" s="27">
        <v>350</v>
      </c>
      <c r="C353" s="29">
        <v>38.058388264124773</v>
      </c>
      <c r="D353" s="29">
        <v>64.053399079846201</v>
      </c>
      <c r="E353" s="29">
        <v>133.71123760407039</v>
      </c>
      <c r="F353" s="29">
        <v>0</v>
      </c>
      <c r="G353" s="29">
        <v>0</v>
      </c>
      <c r="H353" s="29">
        <v>0</v>
      </c>
      <c r="I353" s="29">
        <v>0</v>
      </c>
      <c r="J353" s="29">
        <v>0</v>
      </c>
      <c r="K353" s="29">
        <v>59.18661584851133</v>
      </c>
      <c r="L353" s="30">
        <v>0</v>
      </c>
      <c r="M353" s="30">
        <v>0</v>
      </c>
    </row>
    <row r="354" spans="2:13" x14ac:dyDescent="0.25">
      <c r="B354" s="27">
        <v>351</v>
      </c>
      <c r="C354" s="29">
        <v>0</v>
      </c>
      <c r="D354" s="29">
        <v>0</v>
      </c>
      <c r="E354" s="29">
        <v>89.072753673255477</v>
      </c>
      <c r="F354" s="29">
        <v>27.139084105869536</v>
      </c>
      <c r="G354" s="29">
        <v>0</v>
      </c>
      <c r="H354" s="29">
        <v>0</v>
      </c>
      <c r="I354" s="29">
        <v>0</v>
      </c>
      <c r="J354" s="29">
        <v>0</v>
      </c>
      <c r="K354" s="29">
        <v>42.607336942917129</v>
      </c>
      <c r="L354" s="30">
        <v>46.943378782284974</v>
      </c>
      <c r="M354" s="30">
        <v>0</v>
      </c>
    </row>
    <row r="355" spans="2:13" x14ac:dyDescent="0.25">
      <c r="B355" s="27">
        <v>352</v>
      </c>
      <c r="C355" s="29">
        <v>48.143827723480499</v>
      </c>
      <c r="D355" s="29">
        <v>83.69801997307593</v>
      </c>
      <c r="E355" s="29">
        <v>131.73627486536594</v>
      </c>
      <c r="F355" s="29">
        <v>32.700821821266629</v>
      </c>
      <c r="G355" s="29">
        <v>0</v>
      </c>
      <c r="H355" s="29">
        <v>0</v>
      </c>
      <c r="I355" s="29">
        <v>0</v>
      </c>
      <c r="J355" s="29">
        <v>57.48032034448741</v>
      </c>
      <c r="K355" s="29">
        <v>43.184498127835617</v>
      </c>
      <c r="L355" s="30">
        <v>0</v>
      </c>
      <c r="M355" s="30">
        <v>0</v>
      </c>
    </row>
    <row r="356" spans="2:13" x14ac:dyDescent="0.25">
      <c r="B356" s="27">
        <v>353</v>
      </c>
      <c r="C356" s="29">
        <v>30.463397558594117</v>
      </c>
      <c r="D356" s="29">
        <v>62.57697769631946</v>
      </c>
      <c r="E356" s="29">
        <v>108.11009631280396</v>
      </c>
      <c r="F356" s="29">
        <v>27.771755871445542</v>
      </c>
      <c r="G356" s="29">
        <v>0</v>
      </c>
      <c r="H356" s="29">
        <v>0</v>
      </c>
      <c r="I356" s="29">
        <v>0</v>
      </c>
      <c r="J356" s="29">
        <v>0</v>
      </c>
      <c r="K356" s="29">
        <v>31.042751484037471</v>
      </c>
      <c r="L356" s="30">
        <v>0</v>
      </c>
      <c r="M356" s="30">
        <v>0</v>
      </c>
    </row>
    <row r="357" spans="2:13" x14ac:dyDescent="0.25">
      <c r="B357" s="27">
        <v>354</v>
      </c>
      <c r="C357" s="29">
        <v>30.469991377174754</v>
      </c>
      <c r="D357" s="29">
        <v>0</v>
      </c>
      <c r="E357" s="29">
        <v>94.071349730571697</v>
      </c>
      <c r="F357" s="29">
        <v>52.244938539207581</v>
      </c>
      <c r="G357" s="29">
        <v>0</v>
      </c>
      <c r="H357" s="29">
        <v>34.682829966408462</v>
      </c>
      <c r="I357" s="29">
        <v>14.907196216777926</v>
      </c>
      <c r="J357" s="29">
        <v>0</v>
      </c>
      <c r="K357" s="29">
        <v>0</v>
      </c>
      <c r="L357" s="30">
        <v>0</v>
      </c>
      <c r="M357" s="30">
        <v>0</v>
      </c>
    </row>
    <row r="358" spans="2:13" x14ac:dyDescent="0.25">
      <c r="B358" s="27">
        <v>355</v>
      </c>
      <c r="C358" s="29">
        <v>21.247793644512541</v>
      </c>
      <c r="D358" s="29">
        <v>75.282978497653886</v>
      </c>
      <c r="E358" s="29">
        <v>102.63490127828993</v>
      </c>
      <c r="F358" s="29">
        <v>30.76085456706446</v>
      </c>
      <c r="G358" s="29">
        <v>0</v>
      </c>
      <c r="H358" s="29">
        <v>0</v>
      </c>
      <c r="I358" s="29">
        <v>0</v>
      </c>
      <c r="J358" s="29">
        <v>0</v>
      </c>
      <c r="K358" s="29">
        <v>60.98825904492768</v>
      </c>
      <c r="L358" s="30">
        <v>0</v>
      </c>
      <c r="M358" s="30">
        <v>0</v>
      </c>
    </row>
    <row r="359" spans="2:13" x14ac:dyDescent="0.25">
      <c r="B359" s="27">
        <v>356</v>
      </c>
      <c r="C359" s="29">
        <v>54.348066725468598</v>
      </c>
      <c r="D359" s="29">
        <v>94.425105711378336</v>
      </c>
      <c r="E359" s="29">
        <v>0</v>
      </c>
      <c r="F359" s="29">
        <v>40.990118231353989</v>
      </c>
      <c r="G359" s="29">
        <v>0</v>
      </c>
      <c r="H359" s="29">
        <v>0</v>
      </c>
      <c r="I359" s="29">
        <v>0</v>
      </c>
      <c r="J359" s="29">
        <v>0</v>
      </c>
      <c r="K359" s="29">
        <v>25.822343187490894</v>
      </c>
      <c r="L359" s="30">
        <v>0</v>
      </c>
      <c r="M359" s="30">
        <v>0</v>
      </c>
    </row>
    <row r="360" spans="2:13" x14ac:dyDescent="0.25">
      <c r="B360" s="27">
        <v>357</v>
      </c>
      <c r="C360" s="29">
        <v>39.750194414729343</v>
      </c>
      <c r="D360" s="29">
        <v>77.761736590437025</v>
      </c>
      <c r="E360" s="29">
        <v>0</v>
      </c>
      <c r="F360" s="29">
        <v>18.627474342533368</v>
      </c>
      <c r="G360" s="29">
        <v>0</v>
      </c>
      <c r="H360" s="29">
        <v>34.300809540416807</v>
      </c>
      <c r="I360" s="29">
        <v>0</v>
      </c>
      <c r="J360" s="29">
        <v>0</v>
      </c>
      <c r="K360" s="29">
        <v>47.544947748681963</v>
      </c>
      <c r="L360" s="30">
        <v>0</v>
      </c>
      <c r="M360" s="30">
        <v>0</v>
      </c>
    </row>
    <row r="361" spans="2:13" x14ac:dyDescent="0.25">
      <c r="B361" s="27">
        <v>358</v>
      </c>
      <c r="C361" s="29">
        <v>59.275787508247916</v>
      </c>
      <c r="D361" s="29">
        <v>83.095129866326545</v>
      </c>
      <c r="E361" s="29">
        <v>79.670798862425457</v>
      </c>
      <c r="F361" s="29">
        <v>45.651937013727981</v>
      </c>
      <c r="G361" s="29">
        <v>0</v>
      </c>
      <c r="H361" s="29">
        <v>0</v>
      </c>
      <c r="I361" s="29">
        <v>0</v>
      </c>
      <c r="J361" s="29">
        <v>0</v>
      </c>
      <c r="K361" s="29">
        <v>58.269693050522264</v>
      </c>
      <c r="L361" s="30">
        <v>0</v>
      </c>
      <c r="M361" s="30">
        <v>0</v>
      </c>
    </row>
    <row r="362" spans="2:13" x14ac:dyDescent="0.25">
      <c r="B362" s="27">
        <v>359</v>
      </c>
      <c r="C362" s="29">
        <v>45.820507275249852</v>
      </c>
      <c r="D362" s="29">
        <v>73.746561873221253</v>
      </c>
      <c r="E362" s="29">
        <v>94.936603008592385</v>
      </c>
      <c r="F362" s="29">
        <v>15.404976680246296</v>
      </c>
      <c r="G362" s="29">
        <v>0</v>
      </c>
      <c r="H362" s="29">
        <v>37.106885269525179</v>
      </c>
      <c r="I362" s="29">
        <v>0</v>
      </c>
      <c r="J362" s="29">
        <v>0</v>
      </c>
      <c r="K362" s="29">
        <v>32.941967318967656</v>
      </c>
      <c r="L362" s="30">
        <v>0</v>
      </c>
      <c r="M362" s="30">
        <v>0</v>
      </c>
    </row>
    <row r="363" spans="2:13" x14ac:dyDescent="0.25">
      <c r="B363" s="27">
        <v>360</v>
      </c>
      <c r="C363" s="29">
        <v>0</v>
      </c>
      <c r="D363" s="29">
        <v>52.657537701038841</v>
      </c>
      <c r="E363" s="29">
        <v>76.089270474655265</v>
      </c>
      <c r="F363" s="29">
        <v>42.93406917145964</v>
      </c>
      <c r="G363" s="29">
        <v>0</v>
      </c>
      <c r="H363" s="29">
        <v>0</v>
      </c>
      <c r="I363" s="29">
        <v>46.094748960685735</v>
      </c>
      <c r="J363" s="29">
        <v>0</v>
      </c>
      <c r="K363" s="29">
        <v>54.911635828695729</v>
      </c>
      <c r="L363" s="30">
        <v>0</v>
      </c>
      <c r="M363" s="30">
        <v>0</v>
      </c>
    </row>
    <row r="364" spans="2:13" x14ac:dyDescent="0.25">
      <c r="B364" s="27">
        <v>361</v>
      </c>
      <c r="C364" s="29">
        <v>48.306812642770169</v>
      </c>
      <c r="D364" s="29">
        <v>68.784300948432218</v>
      </c>
      <c r="E364" s="29">
        <v>118.07759299390557</v>
      </c>
      <c r="F364" s="29">
        <v>54.525243691612289</v>
      </c>
      <c r="G364" s="29">
        <v>0</v>
      </c>
      <c r="H364" s="29">
        <v>0</v>
      </c>
      <c r="I364" s="29">
        <v>0</v>
      </c>
      <c r="J364" s="29">
        <v>0</v>
      </c>
      <c r="K364" s="29">
        <v>36.176791514709805</v>
      </c>
      <c r="L364" s="30">
        <v>0</v>
      </c>
      <c r="M364" s="30">
        <v>0</v>
      </c>
    </row>
    <row r="365" spans="2:13" x14ac:dyDescent="0.25">
      <c r="B365" s="27">
        <v>362</v>
      </c>
      <c r="C365" s="29">
        <v>37.843986650366688</v>
      </c>
      <c r="D365" s="29">
        <v>79.563263307602341</v>
      </c>
      <c r="E365" s="29">
        <v>0</v>
      </c>
      <c r="F365" s="29">
        <v>44.413399987551621</v>
      </c>
      <c r="G365" s="29">
        <v>0</v>
      </c>
      <c r="H365" s="29">
        <v>34.588439182102846</v>
      </c>
      <c r="I365" s="29">
        <v>0</v>
      </c>
      <c r="J365" s="29">
        <v>0</v>
      </c>
      <c r="K365" s="29">
        <v>59.462089968691018</v>
      </c>
      <c r="L365" s="30">
        <v>0</v>
      </c>
      <c r="M365" s="30">
        <v>0</v>
      </c>
    </row>
    <row r="366" spans="2:13" x14ac:dyDescent="0.25">
      <c r="B366" s="27">
        <v>363</v>
      </c>
      <c r="C366" s="29">
        <v>49.809277055016388</v>
      </c>
      <c r="D366" s="29">
        <v>90.787862500503124</v>
      </c>
      <c r="E366" s="29">
        <v>87.651888972030733</v>
      </c>
      <c r="F366" s="29">
        <v>53.672771061118297</v>
      </c>
      <c r="G366" s="29">
        <v>0</v>
      </c>
      <c r="H366" s="29">
        <v>0</v>
      </c>
      <c r="I366" s="29">
        <v>49.742302901147106</v>
      </c>
      <c r="J366" s="29">
        <v>0</v>
      </c>
      <c r="K366" s="29">
        <v>42.844660018226861</v>
      </c>
      <c r="L366" s="30">
        <v>0</v>
      </c>
      <c r="M366" s="30">
        <v>0</v>
      </c>
    </row>
    <row r="367" spans="2:13" x14ac:dyDescent="0.25">
      <c r="B367" s="27">
        <v>364</v>
      </c>
      <c r="C367" s="29">
        <v>52.886176822362955</v>
      </c>
      <c r="D367" s="29">
        <v>66.159598794595894</v>
      </c>
      <c r="E367" s="29">
        <v>105.93012578038304</v>
      </c>
      <c r="F367" s="29">
        <v>43.526783765637568</v>
      </c>
      <c r="G367" s="29">
        <v>0</v>
      </c>
      <c r="H367" s="29">
        <v>0</v>
      </c>
      <c r="I367" s="29">
        <v>45.349151503094269</v>
      </c>
      <c r="J367" s="29">
        <v>0</v>
      </c>
      <c r="K367" s="29">
        <v>27.840459852831696</v>
      </c>
      <c r="L367" s="30">
        <v>0</v>
      </c>
      <c r="M367" s="30">
        <v>0</v>
      </c>
    </row>
    <row r="368" spans="2:13" x14ac:dyDescent="0.25">
      <c r="B368" s="27">
        <v>365</v>
      </c>
      <c r="C368" s="29">
        <v>52.421656613792592</v>
      </c>
      <c r="D368" s="29">
        <v>55.730783267840678</v>
      </c>
      <c r="E368" s="29">
        <v>88.049884006910048</v>
      </c>
      <c r="F368" s="29">
        <v>0</v>
      </c>
      <c r="G368" s="29">
        <v>0</v>
      </c>
      <c r="H368" s="29">
        <v>22.396472317438835</v>
      </c>
      <c r="I368" s="29">
        <v>0</v>
      </c>
      <c r="J368" s="29">
        <v>0</v>
      </c>
      <c r="K368" s="29">
        <v>30.661391147167553</v>
      </c>
      <c r="L368" s="30">
        <v>0</v>
      </c>
      <c r="M368" s="30">
        <v>0</v>
      </c>
    </row>
    <row r="369" spans="2:13" x14ac:dyDescent="0.25">
      <c r="B369" s="27">
        <v>366</v>
      </c>
      <c r="C369" s="29">
        <v>52.772647351147747</v>
      </c>
      <c r="D369" s="29">
        <v>72.751399047970594</v>
      </c>
      <c r="E369" s="29">
        <v>78.527049534855166</v>
      </c>
      <c r="F369" s="29">
        <v>0</v>
      </c>
      <c r="G369" s="29">
        <v>0</v>
      </c>
      <c r="H369" s="29">
        <v>0</v>
      </c>
      <c r="I369" s="29">
        <v>43.417988441590531</v>
      </c>
      <c r="J369" s="29">
        <v>0</v>
      </c>
      <c r="K369" s="29">
        <v>54.75306838228726</v>
      </c>
      <c r="L369" s="30">
        <v>0</v>
      </c>
      <c r="M369" s="30">
        <v>0</v>
      </c>
    </row>
    <row r="370" spans="2:13" x14ac:dyDescent="0.25">
      <c r="B370" s="27">
        <v>367</v>
      </c>
      <c r="C370" s="29">
        <v>60.148156275378156</v>
      </c>
      <c r="D370" s="29">
        <v>59.374103741418431</v>
      </c>
      <c r="E370" s="29">
        <v>73.397991515672018</v>
      </c>
      <c r="F370" s="29">
        <v>49.017870897395831</v>
      </c>
      <c r="G370" s="29">
        <v>0</v>
      </c>
      <c r="H370" s="29">
        <v>25.208391096795339</v>
      </c>
      <c r="I370" s="29">
        <v>41.891736165482008</v>
      </c>
      <c r="J370" s="29">
        <v>0</v>
      </c>
      <c r="K370" s="29">
        <v>51.323002539422802</v>
      </c>
      <c r="L370" s="30">
        <v>0</v>
      </c>
      <c r="M370" s="30">
        <v>0</v>
      </c>
    </row>
    <row r="371" spans="2:13" x14ac:dyDescent="0.25">
      <c r="B371" s="27">
        <v>368</v>
      </c>
      <c r="C371" s="29">
        <v>39.978161904017966</v>
      </c>
      <c r="D371" s="29">
        <v>75.588900876163834</v>
      </c>
      <c r="E371" s="29">
        <v>75.866154629698684</v>
      </c>
      <c r="F371" s="29">
        <v>48.171419872914008</v>
      </c>
      <c r="G371" s="29">
        <v>0</v>
      </c>
      <c r="H371" s="29">
        <v>0</v>
      </c>
      <c r="I371" s="29">
        <v>53.036408846669218</v>
      </c>
      <c r="J371" s="29">
        <v>0</v>
      </c>
      <c r="K371" s="29">
        <v>37.416516127080854</v>
      </c>
      <c r="L371" s="30">
        <v>0</v>
      </c>
      <c r="M371" s="30">
        <v>0</v>
      </c>
    </row>
    <row r="372" spans="2:13" x14ac:dyDescent="0.25">
      <c r="B372" s="27">
        <v>369</v>
      </c>
      <c r="C372" s="29">
        <v>31.843728798612752</v>
      </c>
      <c r="D372" s="29">
        <v>74.648182968388113</v>
      </c>
      <c r="E372" s="29">
        <v>109.91659784611673</v>
      </c>
      <c r="F372" s="29">
        <v>55.097146186363105</v>
      </c>
      <c r="G372" s="29">
        <v>0</v>
      </c>
      <c r="H372" s="29">
        <v>0</v>
      </c>
      <c r="I372" s="29">
        <v>0</v>
      </c>
      <c r="J372" s="29">
        <v>26.118278651215839</v>
      </c>
      <c r="K372" s="29">
        <v>0</v>
      </c>
      <c r="L372" s="30">
        <v>0</v>
      </c>
      <c r="M372" s="30">
        <v>0</v>
      </c>
    </row>
    <row r="373" spans="2:13" x14ac:dyDescent="0.25">
      <c r="B373" s="27">
        <v>370</v>
      </c>
      <c r="C373" s="29">
        <v>28.88034354908006</v>
      </c>
      <c r="D373" s="29">
        <v>78.923152208426274</v>
      </c>
      <c r="E373" s="29">
        <v>0</v>
      </c>
      <c r="F373" s="29">
        <v>41.883252262873711</v>
      </c>
      <c r="G373" s="29">
        <v>0</v>
      </c>
      <c r="H373" s="29">
        <v>28.922948821651033</v>
      </c>
      <c r="I373" s="29">
        <v>36.516206520975842</v>
      </c>
      <c r="J373" s="29">
        <v>0</v>
      </c>
      <c r="K373" s="29">
        <v>43.964147253183214</v>
      </c>
      <c r="L373" s="30">
        <v>0</v>
      </c>
      <c r="M373" s="30">
        <v>0</v>
      </c>
    </row>
    <row r="374" spans="2:13" x14ac:dyDescent="0.25">
      <c r="B374" s="27">
        <v>371</v>
      </c>
      <c r="C374" s="29">
        <v>53.940680560927298</v>
      </c>
      <c r="D374" s="29">
        <v>76.547938208429343</v>
      </c>
      <c r="E374" s="29">
        <v>89.591078124895944</v>
      </c>
      <c r="F374" s="29">
        <v>0</v>
      </c>
      <c r="G374" s="29">
        <v>44.923330475222564</v>
      </c>
      <c r="H374" s="29">
        <v>0</v>
      </c>
      <c r="I374" s="29">
        <v>51.589438736948608</v>
      </c>
      <c r="J374" s="29">
        <v>0</v>
      </c>
      <c r="K374" s="29">
        <v>44.162111749610318</v>
      </c>
      <c r="L374" s="30">
        <v>0</v>
      </c>
      <c r="M374" s="30">
        <v>0</v>
      </c>
    </row>
    <row r="375" spans="2:13" x14ac:dyDescent="0.25">
      <c r="B375" s="27">
        <v>372</v>
      </c>
      <c r="C375" s="29">
        <v>52.490576869941805</v>
      </c>
      <c r="D375" s="29">
        <v>0</v>
      </c>
      <c r="E375" s="29">
        <v>80.070225603300131</v>
      </c>
      <c r="F375" s="29">
        <v>44.864053829936502</v>
      </c>
      <c r="G375" s="29">
        <v>0</v>
      </c>
      <c r="H375" s="29">
        <v>34.484582015598733</v>
      </c>
      <c r="I375" s="29">
        <v>0</v>
      </c>
      <c r="J375" s="29">
        <v>0</v>
      </c>
      <c r="K375" s="29">
        <v>48.016789932108622</v>
      </c>
      <c r="L375" s="30">
        <v>0</v>
      </c>
      <c r="M375" s="30">
        <v>0</v>
      </c>
    </row>
    <row r="376" spans="2:13" x14ac:dyDescent="0.25">
      <c r="B376" s="27">
        <v>373</v>
      </c>
      <c r="C376" s="29">
        <v>0</v>
      </c>
      <c r="D376" s="29">
        <v>84.037692310219199</v>
      </c>
      <c r="E376" s="29">
        <v>79.477388550156604</v>
      </c>
      <c r="F376" s="29">
        <v>37.377185552459693</v>
      </c>
      <c r="G376" s="29">
        <v>0</v>
      </c>
      <c r="H376" s="29">
        <v>0</v>
      </c>
      <c r="I376" s="29">
        <v>0</v>
      </c>
      <c r="J376" s="29">
        <v>0</v>
      </c>
      <c r="K376" s="29">
        <v>54.259796225447097</v>
      </c>
      <c r="L376" s="30">
        <v>0</v>
      </c>
      <c r="M376" s="30">
        <v>0</v>
      </c>
    </row>
    <row r="377" spans="2:13" x14ac:dyDescent="0.25">
      <c r="B377" s="27">
        <v>374</v>
      </c>
      <c r="C377" s="29">
        <v>33.164707967462078</v>
      </c>
      <c r="D377" s="29">
        <v>73.011307433029089</v>
      </c>
      <c r="E377" s="29">
        <v>95.958496144922691</v>
      </c>
      <c r="F377" s="29">
        <v>30.905896095150691</v>
      </c>
      <c r="G377" s="29">
        <v>0</v>
      </c>
      <c r="H377" s="29">
        <v>0</v>
      </c>
      <c r="I377" s="29">
        <v>55.674220391418658</v>
      </c>
      <c r="J377" s="29">
        <v>56.506431970811825</v>
      </c>
      <c r="K377" s="29">
        <v>38.406398380875146</v>
      </c>
      <c r="L377" s="30">
        <v>0</v>
      </c>
      <c r="M377" s="30">
        <v>0</v>
      </c>
    </row>
    <row r="378" spans="2:13" x14ac:dyDescent="0.25">
      <c r="B378" s="27">
        <v>375</v>
      </c>
      <c r="C378" s="29">
        <v>64.123987428657273</v>
      </c>
      <c r="D378" s="29">
        <v>71.044324181564178</v>
      </c>
      <c r="E378" s="29">
        <v>86.280818730436636</v>
      </c>
      <c r="F378" s="29">
        <v>36.000588057539474</v>
      </c>
      <c r="G378" s="29">
        <v>0</v>
      </c>
      <c r="H378" s="29">
        <v>0</v>
      </c>
      <c r="I378" s="29">
        <v>57.799041306335752</v>
      </c>
      <c r="J378" s="29">
        <v>0</v>
      </c>
      <c r="K378" s="29">
        <v>24.746991297858877</v>
      </c>
      <c r="L378" s="30">
        <v>0</v>
      </c>
      <c r="M378" s="30">
        <v>0</v>
      </c>
    </row>
    <row r="379" spans="2:13" x14ac:dyDescent="0.25">
      <c r="B379" s="27">
        <v>376</v>
      </c>
      <c r="C379" s="29">
        <v>49.402447386194794</v>
      </c>
      <c r="D379" s="29">
        <v>68.613353851773894</v>
      </c>
      <c r="E379" s="29">
        <v>116.58897248365822</v>
      </c>
      <c r="F379" s="29">
        <v>0</v>
      </c>
      <c r="G379" s="29">
        <v>0</v>
      </c>
      <c r="H379" s="29">
        <v>55.800186271985133</v>
      </c>
      <c r="I379" s="29">
        <v>0</v>
      </c>
      <c r="J379" s="29">
        <v>0</v>
      </c>
      <c r="K379" s="29">
        <v>28.664879156039252</v>
      </c>
      <c r="L379" s="30">
        <v>0</v>
      </c>
      <c r="M379" s="30">
        <v>0</v>
      </c>
    </row>
    <row r="380" spans="2:13" x14ac:dyDescent="0.25">
      <c r="B380" s="27">
        <v>377</v>
      </c>
      <c r="C380" s="29">
        <v>52.539994729464254</v>
      </c>
      <c r="D380" s="29">
        <v>0</v>
      </c>
      <c r="E380" s="29">
        <v>0</v>
      </c>
      <c r="F380" s="29">
        <v>0</v>
      </c>
      <c r="G380" s="29">
        <v>0</v>
      </c>
      <c r="H380" s="29">
        <v>62.597779188988525</v>
      </c>
      <c r="I380" s="29">
        <v>27.672958358211961</v>
      </c>
      <c r="J380" s="29">
        <v>0</v>
      </c>
      <c r="K380" s="29">
        <v>28.699012770524032</v>
      </c>
      <c r="L380" s="30">
        <v>52.876267729423347</v>
      </c>
      <c r="M380" s="30">
        <v>0</v>
      </c>
    </row>
    <row r="381" spans="2:13" x14ac:dyDescent="0.25">
      <c r="B381" s="27">
        <v>378</v>
      </c>
      <c r="C381" s="29">
        <v>23.471551858266519</v>
      </c>
      <c r="D381" s="29">
        <v>77.696417786987809</v>
      </c>
      <c r="E381" s="29">
        <v>84.588152802754379</v>
      </c>
      <c r="F381" s="29">
        <v>41.366742088947845</v>
      </c>
      <c r="G381" s="29">
        <v>0</v>
      </c>
      <c r="H381" s="29">
        <v>0</v>
      </c>
      <c r="I381" s="29">
        <v>0</v>
      </c>
      <c r="J381" s="29">
        <v>0</v>
      </c>
      <c r="K381" s="29">
        <v>47.826689382350445</v>
      </c>
      <c r="L381" s="30">
        <v>0</v>
      </c>
      <c r="M381" s="30">
        <v>0</v>
      </c>
    </row>
    <row r="382" spans="2:13" x14ac:dyDescent="0.25">
      <c r="B382" s="27">
        <v>379</v>
      </c>
      <c r="C382" s="29">
        <v>0</v>
      </c>
      <c r="D382" s="29">
        <v>61.511399208857</v>
      </c>
      <c r="E382" s="29">
        <v>103.79140030426522</v>
      </c>
      <c r="F382" s="29">
        <v>0</v>
      </c>
      <c r="G382" s="29">
        <v>0</v>
      </c>
      <c r="H382" s="29">
        <v>0</v>
      </c>
      <c r="I382" s="29">
        <v>0</v>
      </c>
      <c r="J382" s="29">
        <v>0</v>
      </c>
      <c r="K382" s="29">
        <v>51.898726594872826</v>
      </c>
      <c r="L382" s="30">
        <v>0</v>
      </c>
      <c r="M382" s="30">
        <v>0</v>
      </c>
    </row>
    <row r="383" spans="2:13" x14ac:dyDescent="0.25">
      <c r="B383" s="27">
        <v>380</v>
      </c>
      <c r="C383" s="29">
        <v>47.016054021394595</v>
      </c>
      <c r="D383" s="29">
        <v>88.900359580175476</v>
      </c>
      <c r="E383" s="29">
        <v>131.62564423690031</v>
      </c>
      <c r="F383" s="29">
        <v>47.224026411637695</v>
      </c>
      <c r="G383" s="29">
        <v>0</v>
      </c>
      <c r="H383" s="29">
        <v>0</v>
      </c>
      <c r="I383" s="29">
        <v>33.242684793163235</v>
      </c>
      <c r="J383" s="29">
        <v>0</v>
      </c>
      <c r="K383" s="29">
        <v>55.609283635638846</v>
      </c>
      <c r="L383" s="30">
        <v>0</v>
      </c>
      <c r="M383" s="30">
        <v>0</v>
      </c>
    </row>
    <row r="384" spans="2:13" x14ac:dyDescent="0.25">
      <c r="B384" s="27">
        <v>381</v>
      </c>
      <c r="C384" s="29">
        <v>28.048039703304603</v>
      </c>
      <c r="D384" s="29">
        <v>70.01136870983143</v>
      </c>
      <c r="E384" s="29">
        <v>88.577711758738616</v>
      </c>
      <c r="F384" s="29">
        <v>33.102129610025926</v>
      </c>
      <c r="G384" s="29">
        <v>0</v>
      </c>
      <c r="H384" s="29">
        <v>0</v>
      </c>
      <c r="I384" s="29">
        <v>38.486415878034833</v>
      </c>
      <c r="J384" s="29">
        <v>0</v>
      </c>
      <c r="K384" s="29">
        <v>48.029406732616302</v>
      </c>
      <c r="L384" s="30">
        <v>0</v>
      </c>
      <c r="M384" s="30">
        <v>0</v>
      </c>
    </row>
    <row r="385" spans="2:13" x14ac:dyDescent="0.25">
      <c r="B385" s="27">
        <v>382</v>
      </c>
      <c r="C385" s="29">
        <v>58.189113575388561</v>
      </c>
      <c r="D385" s="29">
        <v>79.652021160227292</v>
      </c>
      <c r="E385" s="29">
        <v>0</v>
      </c>
      <c r="F385" s="29">
        <v>45.349308269043739</v>
      </c>
      <c r="G385" s="29">
        <v>0</v>
      </c>
      <c r="H385" s="29">
        <v>47.16035101431666</v>
      </c>
      <c r="I385" s="29">
        <v>0</v>
      </c>
      <c r="J385" s="29">
        <v>0</v>
      </c>
      <c r="K385" s="29">
        <v>29.561695659138177</v>
      </c>
      <c r="L385" s="30">
        <v>0</v>
      </c>
      <c r="M385" s="30">
        <v>0</v>
      </c>
    </row>
    <row r="386" spans="2:13" x14ac:dyDescent="0.25">
      <c r="B386" s="27">
        <v>383</v>
      </c>
      <c r="C386" s="29">
        <v>62.074099154584445</v>
      </c>
      <c r="D386" s="29">
        <v>55.666893980220905</v>
      </c>
      <c r="E386" s="29">
        <v>0</v>
      </c>
      <c r="F386" s="29">
        <v>47.25665819921597</v>
      </c>
      <c r="G386" s="29">
        <v>0</v>
      </c>
      <c r="H386" s="29">
        <v>55.164498399532292</v>
      </c>
      <c r="I386" s="29">
        <v>0</v>
      </c>
      <c r="J386" s="29">
        <v>0</v>
      </c>
      <c r="K386" s="29">
        <v>0</v>
      </c>
      <c r="L386" s="30">
        <v>0</v>
      </c>
      <c r="M386" s="30">
        <v>0</v>
      </c>
    </row>
    <row r="387" spans="2:13" x14ac:dyDescent="0.25">
      <c r="B387" s="27">
        <v>384</v>
      </c>
      <c r="C387" s="29">
        <v>43.228661079607342</v>
      </c>
      <c r="D387" s="29">
        <v>58.287517962583131</v>
      </c>
      <c r="E387" s="29">
        <v>0</v>
      </c>
      <c r="F387" s="29">
        <v>57.177809050088001</v>
      </c>
      <c r="G387" s="29">
        <v>0</v>
      </c>
      <c r="H387" s="29">
        <v>0</v>
      </c>
      <c r="I387" s="29">
        <v>0</v>
      </c>
      <c r="J387" s="29">
        <v>0</v>
      </c>
      <c r="K387" s="29">
        <v>42.426923064778151</v>
      </c>
      <c r="L387" s="30">
        <v>0</v>
      </c>
      <c r="M387" s="30">
        <v>0</v>
      </c>
    </row>
    <row r="388" spans="2:13" x14ac:dyDescent="0.25">
      <c r="B388" s="27">
        <v>385</v>
      </c>
      <c r="C388" s="29">
        <v>37.183618387811137</v>
      </c>
      <c r="D388" s="29">
        <v>65.786734267021146</v>
      </c>
      <c r="E388" s="29">
        <v>85.47848455548683</v>
      </c>
      <c r="F388" s="29">
        <v>67.954449307150725</v>
      </c>
      <c r="G388" s="29">
        <v>0</v>
      </c>
      <c r="H388" s="29">
        <v>0</v>
      </c>
      <c r="I388" s="29">
        <v>22.711528379560569</v>
      </c>
      <c r="J388" s="29">
        <v>0</v>
      </c>
      <c r="K388" s="29">
        <v>41.37896386034528</v>
      </c>
      <c r="L388" s="30">
        <v>0</v>
      </c>
      <c r="M388" s="30">
        <v>0</v>
      </c>
    </row>
    <row r="389" spans="2:13" x14ac:dyDescent="0.25">
      <c r="B389" s="27">
        <v>386</v>
      </c>
      <c r="C389" s="29">
        <v>47.840470765977749</v>
      </c>
      <c r="D389" s="29">
        <v>84.774668708183739</v>
      </c>
      <c r="E389" s="29">
        <v>122.61354773981196</v>
      </c>
      <c r="F389" s="29">
        <v>0</v>
      </c>
      <c r="G389" s="29">
        <v>0</v>
      </c>
      <c r="H389" s="29">
        <v>39.236033126851112</v>
      </c>
      <c r="I389" s="29">
        <v>27.054096588520949</v>
      </c>
      <c r="J389" s="29">
        <v>0</v>
      </c>
      <c r="K389" s="29">
        <v>50.350753024144012</v>
      </c>
      <c r="L389" s="30">
        <v>0</v>
      </c>
      <c r="M389" s="30">
        <v>0</v>
      </c>
    </row>
    <row r="390" spans="2:13" x14ac:dyDescent="0.25">
      <c r="B390" s="27">
        <v>387</v>
      </c>
      <c r="C390" s="29">
        <v>52.060252705980517</v>
      </c>
      <c r="D390" s="29">
        <v>51.044715143656639</v>
      </c>
      <c r="E390" s="29">
        <v>102.89964554110495</v>
      </c>
      <c r="F390" s="29">
        <v>54.630301870362842</v>
      </c>
      <c r="G390" s="29">
        <v>0</v>
      </c>
      <c r="H390" s="29">
        <v>0</v>
      </c>
      <c r="I390" s="29">
        <v>50.232270999809423</v>
      </c>
      <c r="J390" s="29">
        <v>28.707677869216255</v>
      </c>
      <c r="K390" s="29">
        <v>0</v>
      </c>
      <c r="L390" s="30">
        <v>0</v>
      </c>
      <c r="M390" s="30">
        <v>0</v>
      </c>
    </row>
    <row r="391" spans="2:13" x14ac:dyDescent="0.25">
      <c r="B391" s="27">
        <v>388</v>
      </c>
      <c r="C391" s="29">
        <v>56.40933415742812</v>
      </c>
      <c r="D391" s="29">
        <v>0</v>
      </c>
      <c r="E391" s="29">
        <v>0</v>
      </c>
      <c r="F391" s="29">
        <v>44.056467655975652</v>
      </c>
      <c r="G391" s="29">
        <v>0</v>
      </c>
      <c r="H391" s="29">
        <v>0</v>
      </c>
      <c r="I391" s="29">
        <v>47.44033291199186</v>
      </c>
      <c r="J391" s="29">
        <v>0</v>
      </c>
      <c r="K391" s="29">
        <v>65.883878083420015</v>
      </c>
      <c r="L391" s="30">
        <v>0</v>
      </c>
      <c r="M391" s="30">
        <v>0</v>
      </c>
    </row>
    <row r="392" spans="2:13" x14ac:dyDescent="0.25">
      <c r="B392" s="27">
        <v>389</v>
      </c>
      <c r="C392" s="29">
        <v>40.687661806865073</v>
      </c>
      <c r="D392" s="29">
        <v>73.329664814088417</v>
      </c>
      <c r="E392" s="29">
        <v>108.06904304856315</v>
      </c>
      <c r="F392" s="29">
        <v>28.120652798754275</v>
      </c>
      <c r="G392" s="29">
        <v>0</v>
      </c>
      <c r="H392" s="29">
        <v>0</v>
      </c>
      <c r="I392" s="29">
        <v>0</v>
      </c>
      <c r="J392" s="29">
        <v>0</v>
      </c>
      <c r="K392" s="29">
        <v>0</v>
      </c>
      <c r="L392" s="30">
        <v>0</v>
      </c>
      <c r="M392" s="30">
        <v>0</v>
      </c>
    </row>
    <row r="393" spans="2:13" x14ac:dyDescent="0.25">
      <c r="B393" s="27">
        <v>390</v>
      </c>
      <c r="C393" s="29">
        <v>40.256073190379709</v>
      </c>
      <c r="D393" s="29">
        <v>78.570095875464133</v>
      </c>
      <c r="E393" s="29">
        <v>0</v>
      </c>
      <c r="F393" s="29">
        <v>60.80705940239956</v>
      </c>
      <c r="G393" s="29">
        <v>0</v>
      </c>
      <c r="H393" s="29">
        <v>51.673291468112211</v>
      </c>
      <c r="I393" s="29">
        <v>0</v>
      </c>
      <c r="J393" s="29">
        <v>0</v>
      </c>
      <c r="K393" s="29">
        <v>27.608687491137395</v>
      </c>
      <c r="L393" s="30">
        <v>0</v>
      </c>
      <c r="M393" s="30">
        <v>0</v>
      </c>
    </row>
    <row r="394" spans="2:13" x14ac:dyDescent="0.25">
      <c r="B394" s="27">
        <v>391</v>
      </c>
      <c r="C394" s="29">
        <v>52.593139795370654</v>
      </c>
      <c r="D394" s="29">
        <v>97.565305900055279</v>
      </c>
      <c r="E394" s="29">
        <v>113.25532921429934</v>
      </c>
      <c r="F394" s="29">
        <v>43.124472994433255</v>
      </c>
      <c r="G394" s="29">
        <v>0</v>
      </c>
      <c r="H394" s="29">
        <v>0</v>
      </c>
      <c r="I394" s="29">
        <v>48.858882181489939</v>
      </c>
      <c r="J394" s="29">
        <v>42.022176107336982</v>
      </c>
      <c r="K394" s="29">
        <v>31.454674644265111</v>
      </c>
      <c r="L394" s="30">
        <v>0</v>
      </c>
      <c r="M394" s="30">
        <v>0</v>
      </c>
    </row>
    <row r="395" spans="2:13" x14ac:dyDescent="0.25">
      <c r="B395" s="27">
        <v>392</v>
      </c>
      <c r="C395" s="29">
        <v>48.675565617527987</v>
      </c>
      <c r="D395" s="29">
        <v>91.588238946068813</v>
      </c>
      <c r="E395" s="29">
        <v>65.885950535725669</v>
      </c>
      <c r="F395" s="29">
        <v>49.398884031311219</v>
      </c>
      <c r="G395" s="29">
        <v>0</v>
      </c>
      <c r="H395" s="29">
        <v>0</v>
      </c>
      <c r="I395" s="29">
        <v>53.234872151644652</v>
      </c>
      <c r="J395" s="29">
        <v>0</v>
      </c>
      <c r="K395" s="29">
        <v>0</v>
      </c>
      <c r="L395" s="30">
        <v>0</v>
      </c>
      <c r="M395" s="30">
        <v>0</v>
      </c>
    </row>
    <row r="396" spans="2:13" x14ac:dyDescent="0.25">
      <c r="B396" s="27">
        <v>393</v>
      </c>
      <c r="C396" s="29">
        <v>28.416573024829741</v>
      </c>
      <c r="D396" s="29">
        <v>70.670487712806761</v>
      </c>
      <c r="E396" s="29">
        <v>75.900804965976633</v>
      </c>
      <c r="F396" s="29">
        <v>43.691083972433653</v>
      </c>
      <c r="G396" s="29">
        <v>0</v>
      </c>
      <c r="H396" s="29">
        <v>0</v>
      </c>
      <c r="I396" s="29">
        <v>0</v>
      </c>
      <c r="J396" s="29">
        <v>0</v>
      </c>
      <c r="K396" s="29">
        <v>0</v>
      </c>
      <c r="L396" s="30">
        <v>0</v>
      </c>
      <c r="M396" s="30">
        <v>0</v>
      </c>
    </row>
    <row r="397" spans="2:13" x14ac:dyDescent="0.25">
      <c r="B397" s="27">
        <v>394</v>
      </c>
      <c r="C397" s="29">
        <v>42.287213731314537</v>
      </c>
      <c r="D397" s="29">
        <v>81.175222557123107</v>
      </c>
      <c r="E397" s="29">
        <v>116.15668337362155</v>
      </c>
      <c r="F397" s="29">
        <v>25.606782554786953</v>
      </c>
      <c r="G397" s="29">
        <v>35.315728175251124</v>
      </c>
      <c r="H397" s="29">
        <v>0</v>
      </c>
      <c r="I397" s="29">
        <v>59.92602171419685</v>
      </c>
      <c r="J397" s="29">
        <v>0</v>
      </c>
      <c r="K397" s="29">
        <v>67.714018542251182</v>
      </c>
      <c r="L397" s="30">
        <v>0</v>
      </c>
      <c r="M397" s="30">
        <v>0</v>
      </c>
    </row>
    <row r="398" spans="2:13" x14ac:dyDescent="0.25">
      <c r="B398" s="27">
        <v>395</v>
      </c>
      <c r="C398" s="29">
        <v>22.69545820154751</v>
      </c>
      <c r="D398" s="29">
        <v>62.708381137376762</v>
      </c>
      <c r="E398" s="29">
        <v>110.58765480864459</v>
      </c>
      <c r="F398" s="29">
        <v>50.968570099911787</v>
      </c>
      <c r="G398" s="29">
        <v>0</v>
      </c>
      <c r="H398" s="29">
        <v>0</v>
      </c>
      <c r="I398" s="29">
        <v>0</v>
      </c>
      <c r="J398" s="29">
        <v>0</v>
      </c>
      <c r="K398" s="29">
        <v>51.738881950600671</v>
      </c>
      <c r="L398" s="30">
        <v>0</v>
      </c>
      <c r="M398" s="30">
        <v>0</v>
      </c>
    </row>
    <row r="399" spans="2:13" x14ac:dyDescent="0.25">
      <c r="B399" s="27">
        <v>396</v>
      </c>
      <c r="C399" s="29">
        <v>55.579561258414358</v>
      </c>
      <c r="D399" s="29">
        <v>69.460354115242211</v>
      </c>
      <c r="E399" s="29">
        <v>0</v>
      </c>
      <c r="F399" s="29">
        <v>42.079462767125733</v>
      </c>
      <c r="G399" s="29">
        <v>0</v>
      </c>
      <c r="H399" s="29">
        <v>0</v>
      </c>
      <c r="I399" s="29">
        <v>0</v>
      </c>
      <c r="J399" s="29">
        <v>0</v>
      </c>
      <c r="K399" s="29">
        <v>29.832606631591112</v>
      </c>
      <c r="L399" s="30">
        <v>0</v>
      </c>
      <c r="M399" s="30">
        <v>0</v>
      </c>
    </row>
    <row r="400" spans="2:13" x14ac:dyDescent="0.25">
      <c r="B400" s="27">
        <v>397</v>
      </c>
      <c r="C400" s="29">
        <v>53.00000705864592</v>
      </c>
      <c r="D400" s="29">
        <v>69.682409165302047</v>
      </c>
      <c r="E400" s="29">
        <v>117.69050794888861</v>
      </c>
      <c r="F400" s="29">
        <v>36.963890181564167</v>
      </c>
      <c r="G400" s="29">
        <v>0</v>
      </c>
      <c r="H400" s="29">
        <v>0</v>
      </c>
      <c r="I400" s="29">
        <v>0</v>
      </c>
      <c r="J400" s="29">
        <v>28.145496282296939</v>
      </c>
      <c r="K400" s="29">
        <v>45.728035580169077</v>
      </c>
      <c r="L400" s="30">
        <v>0</v>
      </c>
      <c r="M400" s="30">
        <v>0</v>
      </c>
    </row>
    <row r="401" spans="2:13" x14ac:dyDescent="0.25">
      <c r="B401" s="27">
        <v>398</v>
      </c>
      <c r="C401" s="29">
        <v>65.791652808564123</v>
      </c>
      <c r="D401" s="29">
        <v>66.471693069287767</v>
      </c>
      <c r="E401" s="29">
        <v>83.091216103033886</v>
      </c>
      <c r="F401" s="29">
        <v>30.653219064436072</v>
      </c>
      <c r="G401" s="29">
        <v>0</v>
      </c>
      <c r="H401" s="29">
        <v>0</v>
      </c>
      <c r="I401" s="29">
        <v>42.27314128223793</v>
      </c>
      <c r="J401" s="29">
        <v>0</v>
      </c>
      <c r="K401" s="29">
        <v>58.926022178954796</v>
      </c>
      <c r="L401" s="30">
        <v>0</v>
      </c>
      <c r="M401" s="30">
        <v>0</v>
      </c>
    </row>
    <row r="402" spans="2:13" x14ac:dyDescent="0.25">
      <c r="B402" s="27">
        <v>399</v>
      </c>
      <c r="C402" s="29">
        <v>30.78960552818296</v>
      </c>
      <c r="D402" s="29">
        <v>83.659447144453281</v>
      </c>
      <c r="E402" s="29">
        <v>97.385852768901941</v>
      </c>
      <c r="F402" s="29">
        <v>0</v>
      </c>
      <c r="G402" s="29">
        <v>0</v>
      </c>
      <c r="H402" s="29">
        <v>0</v>
      </c>
      <c r="I402" s="29">
        <v>0</v>
      </c>
      <c r="J402" s="29">
        <v>34.263901953890439</v>
      </c>
      <c r="K402" s="29">
        <v>60.665044819088529</v>
      </c>
      <c r="L402" s="30">
        <v>0</v>
      </c>
      <c r="M402" s="30">
        <v>0</v>
      </c>
    </row>
    <row r="403" spans="2:13" x14ac:dyDescent="0.25">
      <c r="B403" s="27">
        <v>400</v>
      </c>
      <c r="C403" s="29">
        <v>64.113251609809879</v>
      </c>
      <c r="D403" s="29">
        <v>0</v>
      </c>
      <c r="E403" s="29">
        <v>114.73769755836108</v>
      </c>
      <c r="F403" s="29">
        <v>66.050032242891518</v>
      </c>
      <c r="G403" s="29">
        <v>0</v>
      </c>
      <c r="H403" s="29">
        <v>0</v>
      </c>
      <c r="I403" s="29">
        <v>61.709683634544369</v>
      </c>
      <c r="J403" s="29">
        <v>0</v>
      </c>
      <c r="K403" s="29">
        <v>46.207225819917468</v>
      </c>
      <c r="L403" s="30">
        <v>0</v>
      </c>
      <c r="M403" s="30">
        <v>0</v>
      </c>
    </row>
    <row r="404" spans="2:13" x14ac:dyDescent="0.25">
      <c r="B404" s="27">
        <v>401</v>
      </c>
      <c r="C404" s="29">
        <v>30.833015118972753</v>
      </c>
      <c r="D404" s="29">
        <v>66.079687410765004</v>
      </c>
      <c r="E404" s="29">
        <v>0</v>
      </c>
      <c r="F404" s="29">
        <v>0</v>
      </c>
      <c r="G404" s="29">
        <v>0</v>
      </c>
      <c r="H404" s="29">
        <v>0</v>
      </c>
      <c r="I404" s="29">
        <v>0</v>
      </c>
      <c r="J404" s="29">
        <v>0</v>
      </c>
      <c r="K404" s="29">
        <v>35.192645170486081</v>
      </c>
      <c r="L404" s="30">
        <v>35.606603788739093</v>
      </c>
      <c r="M404" s="30">
        <v>0</v>
      </c>
    </row>
    <row r="405" spans="2:13" x14ac:dyDescent="0.25">
      <c r="B405" s="27">
        <v>402</v>
      </c>
      <c r="C405" s="29">
        <v>60.680518340873299</v>
      </c>
      <c r="D405" s="29">
        <v>70.912319367663386</v>
      </c>
      <c r="E405" s="29">
        <v>116.154804035089</v>
      </c>
      <c r="F405" s="29">
        <v>40.447735671767902</v>
      </c>
      <c r="G405" s="29">
        <v>0</v>
      </c>
      <c r="H405" s="29">
        <v>46.011670484680415</v>
      </c>
      <c r="I405" s="29">
        <v>28.057718445009876</v>
      </c>
      <c r="J405" s="29">
        <v>0</v>
      </c>
      <c r="K405" s="29">
        <v>57.55977675249725</v>
      </c>
      <c r="L405" s="30">
        <v>0</v>
      </c>
      <c r="M405" s="30">
        <v>0</v>
      </c>
    </row>
    <row r="406" spans="2:13" x14ac:dyDescent="0.25">
      <c r="B406" s="27">
        <v>403</v>
      </c>
      <c r="C406" s="29">
        <v>48.717946094496043</v>
      </c>
      <c r="D406" s="29">
        <v>66.339090519942289</v>
      </c>
      <c r="E406" s="29">
        <v>125.04688881618267</v>
      </c>
      <c r="F406" s="29">
        <v>43.022700354224881</v>
      </c>
      <c r="G406" s="29">
        <v>0</v>
      </c>
      <c r="H406" s="29">
        <v>0</v>
      </c>
      <c r="I406" s="29">
        <v>0</v>
      </c>
      <c r="J406" s="29">
        <v>0</v>
      </c>
      <c r="K406" s="29">
        <v>37.331425521712447</v>
      </c>
      <c r="L406" s="30">
        <v>0</v>
      </c>
      <c r="M406" s="30">
        <v>0</v>
      </c>
    </row>
    <row r="407" spans="2:13" x14ac:dyDescent="0.25">
      <c r="B407" s="27">
        <v>404</v>
      </c>
      <c r="C407" s="29">
        <v>43.000427011580079</v>
      </c>
      <c r="D407" s="29">
        <v>87.470025030978235</v>
      </c>
      <c r="E407" s="29">
        <v>98.191836009486025</v>
      </c>
      <c r="F407" s="29">
        <v>65.444537991083209</v>
      </c>
      <c r="G407" s="29">
        <v>0</v>
      </c>
      <c r="H407" s="29">
        <v>0</v>
      </c>
      <c r="I407" s="29">
        <v>0</v>
      </c>
      <c r="J407" s="29">
        <v>36.345909111396637</v>
      </c>
      <c r="K407" s="29">
        <v>54.113125078385359</v>
      </c>
      <c r="L407" s="30">
        <v>0</v>
      </c>
      <c r="M407" s="30">
        <v>0</v>
      </c>
    </row>
    <row r="408" spans="2:13" x14ac:dyDescent="0.25">
      <c r="B408" s="27">
        <v>405</v>
      </c>
      <c r="C408" s="29">
        <v>60.865782251646905</v>
      </c>
      <c r="D408" s="29">
        <v>71.664489043178079</v>
      </c>
      <c r="E408" s="29">
        <v>0</v>
      </c>
      <c r="F408" s="29">
        <v>15.457787955418759</v>
      </c>
      <c r="G408" s="29">
        <v>0</v>
      </c>
      <c r="H408" s="29">
        <v>40.209416465117947</v>
      </c>
      <c r="I408" s="29">
        <v>0</v>
      </c>
      <c r="J408" s="29">
        <v>0</v>
      </c>
      <c r="K408" s="29">
        <v>55.971233622030937</v>
      </c>
      <c r="L408" s="30">
        <v>0</v>
      </c>
      <c r="M408" s="30">
        <v>0</v>
      </c>
    </row>
    <row r="409" spans="2:13" x14ac:dyDescent="0.25">
      <c r="B409" s="27">
        <v>406</v>
      </c>
      <c r="C409" s="29">
        <v>52.86508000115191</v>
      </c>
      <c r="D409" s="29">
        <v>0</v>
      </c>
      <c r="E409" s="29">
        <v>83.967476072588823</v>
      </c>
      <c r="F409" s="29">
        <v>38.461224362326334</v>
      </c>
      <c r="G409" s="29">
        <v>0</v>
      </c>
      <c r="H409" s="29">
        <v>0</v>
      </c>
      <c r="I409" s="29">
        <v>48.683022238076873</v>
      </c>
      <c r="J409" s="29">
        <v>0</v>
      </c>
      <c r="K409" s="29">
        <v>24.693698485274325</v>
      </c>
      <c r="L409" s="30">
        <v>0</v>
      </c>
      <c r="M409" s="30">
        <v>0</v>
      </c>
    </row>
    <row r="410" spans="2:13" x14ac:dyDescent="0.25">
      <c r="B410" s="27">
        <v>407</v>
      </c>
      <c r="C410" s="29">
        <v>46.475226064690567</v>
      </c>
      <c r="D410" s="29">
        <v>0</v>
      </c>
      <c r="E410" s="29">
        <v>0</v>
      </c>
      <c r="F410" s="29">
        <v>34.663633653221837</v>
      </c>
      <c r="G410" s="29">
        <v>0</v>
      </c>
      <c r="H410" s="29">
        <v>0</v>
      </c>
      <c r="I410" s="29">
        <v>56.7365827374229</v>
      </c>
      <c r="J410" s="29">
        <v>47.582805956960122</v>
      </c>
      <c r="K410" s="29">
        <v>48.163713710915829</v>
      </c>
      <c r="L410" s="30">
        <v>40.695660752006283</v>
      </c>
      <c r="M410" s="30">
        <v>0</v>
      </c>
    </row>
    <row r="411" spans="2:13" x14ac:dyDescent="0.25">
      <c r="B411" s="27">
        <v>408</v>
      </c>
      <c r="C411" s="29">
        <v>62.635028820097176</v>
      </c>
      <c r="D411" s="29">
        <v>66.001619951690842</v>
      </c>
      <c r="E411" s="29">
        <v>106.5918174008102</v>
      </c>
      <c r="F411" s="29">
        <v>19.610650544204866</v>
      </c>
      <c r="G411" s="29">
        <v>48.508457467468354</v>
      </c>
      <c r="H411" s="29">
        <v>0</v>
      </c>
      <c r="I411" s="29">
        <v>0</v>
      </c>
      <c r="J411" s="29">
        <v>48.447136762952589</v>
      </c>
      <c r="K411" s="29">
        <v>54.242107832693598</v>
      </c>
      <c r="L411" s="30">
        <v>0</v>
      </c>
      <c r="M411" s="30">
        <v>0</v>
      </c>
    </row>
    <row r="412" spans="2:13" x14ac:dyDescent="0.25">
      <c r="B412" s="27">
        <v>409</v>
      </c>
      <c r="C412" s="29">
        <v>25.594478597370845</v>
      </c>
      <c r="D412" s="29">
        <v>0</v>
      </c>
      <c r="E412" s="29">
        <v>71.168955241830901</v>
      </c>
      <c r="F412" s="29">
        <v>44.772670851660614</v>
      </c>
      <c r="G412" s="29">
        <v>0</v>
      </c>
      <c r="H412" s="29">
        <v>0</v>
      </c>
      <c r="I412" s="29">
        <v>27.273868516086697</v>
      </c>
      <c r="J412" s="29">
        <v>0</v>
      </c>
      <c r="K412" s="29">
        <v>56.583635337586742</v>
      </c>
      <c r="L412" s="30">
        <v>0</v>
      </c>
      <c r="M412" s="30">
        <v>0</v>
      </c>
    </row>
    <row r="413" spans="2:13" x14ac:dyDescent="0.25">
      <c r="B413" s="27">
        <v>410</v>
      </c>
      <c r="C413" s="29">
        <v>27.430191737205053</v>
      </c>
      <c r="D413" s="29">
        <v>0</v>
      </c>
      <c r="E413" s="29">
        <v>0</v>
      </c>
      <c r="F413" s="29">
        <v>41.441743581455675</v>
      </c>
      <c r="G413" s="29">
        <v>0</v>
      </c>
      <c r="H413" s="29">
        <v>0</v>
      </c>
      <c r="I413" s="29">
        <v>18.75996934098719</v>
      </c>
      <c r="J413" s="29">
        <v>0</v>
      </c>
      <c r="K413" s="29">
        <v>68.735133340582422</v>
      </c>
      <c r="L413" s="30">
        <v>0</v>
      </c>
      <c r="M413" s="30">
        <v>0</v>
      </c>
    </row>
    <row r="414" spans="2:13" x14ac:dyDescent="0.25">
      <c r="B414" s="27">
        <v>411</v>
      </c>
      <c r="C414" s="29">
        <v>29.792302527071108</v>
      </c>
      <c r="D414" s="29">
        <v>78.422317239406908</v>
      </c>
      <c r="E414" s="29">
        <v>80.581163185331548</v>
      </c>
      <c r="F414" s="29">
        <v>24.67776078051498</v>
      </c>
      <c r="G414" s="29">
        <v>0</v>
      </c>
      <c r="H414" s="29">
        <v>0</v>
      </c>
      <c r="I414" s="29">
        <v>44.097494623142772</v>
      </c>
      <c r="J414" s="29">
        <v>0</v>
      </c>
      <c r="K414" s="29">
        <v>43.22993558628977</v>
      </c>
      <c r="L414" s="30">
        <v>0</v>
      </c>
      <c r="M414" s="30">
        <v>0</v>
      </c>
    </row>
    <row r="415" spans="2:13" x14ac:dyDescent="0.25">
      <c r="B415" s="27">
        <v>412</v>
      </c>
      <c r="C415" s="29">
        <v>0</v>
      </c>
      <c r="D415" s="29">
        <v>73.69307643098449</v>
      </c>
      <c r="E415" s="29">
        <v>78.637120511200422</v>
      </c>
      <c r="F415" s="29">
        <v>37.365957693111923</v>
      </c>
      <c r="G415" s="29">
        <v>0</v>
      </c>
      <c r="H415" s="29">
        <v>45.938881485313999</v>
      </c>
      <c r="I415" s="29">
        <v>0</v>
      </c>
      <c r="J415" s="29">
        <v>0</v>
      </c>
      <c r="K415" s="29">
        <v>43.056689691244763</v>
      </c>
      <c r="L415" s="30">
        <v>0</v>
      </c>
      <c r="M415" s="30">
        <v>0</v>
      </c>
    </row>
    <row r="416" spans="2:13" x14ac:dyDescent="0.25">
      <c r="B416" s="27">
        <v>413</v>
      </c>
      <c r="C416" s="29">
        <v>54.554605185050804</v>
      </c>
      <c r="D416" s="29">
        <v>66.772120814939441</v>
      </c>
      <c r="E416" s="29">
        <v>89.228289763974402</v>
      </c>
      <c r="F416" s="29">
        <v>34.224984991004206</v>
      </c>
      <c r="G416" s="29">
        <v>0</v>
      </c>
      <c r="H416" s="29">
        <v>35.6744798606139</v>
      </c>
      <c r="I416" s="29">
        <v>0</v>
      </c>
      <c r="J416" s="29">
        <v>27.477607790026791</v>
      </c>
      <c r="K416" s="29">
        <v>29.774647752808093</v>
      </c>
      <c r="L416" s="30">
        <v>0</v>
      </c>
      <c r="M416" s="30">
        <v>0</v>
      </c>
    </row>
    <row r="417" spans="2:13" x14ac:dyDescent="0.25">
      <c r="B417" s="27">
        <v>414</v>
      </c>
      <c r="C417" s="29">
        <v>50.035017835332866</v>
      </c>
      <c r="D417" s="29">
        <v>66.070010052555517</v>
      </c>
      <c r="E417" s="29">
        <v>0</v>
      </c>
      <c r="F417" s="29">
        <v>53.284488699786102</v>
      </c>
      <c r="G417" s="29">
        <v>0</v>
      </c>
      <c r="H417" s="29">
        <v>0</v>
      </c>
      <c r="I417" s="29">
        <v>0</v>
      </c>
      <c r="J417" s="29">
        <v>60.595921861402736</v>
      </c>
      <c r="K417" s="29">
        <v>52.427733002565716</v>
      </c>
      <c r="L417" s="30">
        <v>0</v>
      </c>
      <c r="M417" s="30">
        <v>0</v>
      </c>
    </row>
    <row r="418" spans="2:13" x14ac:dyDescent="0.25">
      <c r="B418" s="27">
        <v>415</v>
      </c>
      <c r="C418" s="29">
        <v>23.543106385509923</v>
      </c>
      <c r="D418" s="29">
        <v>78.729465872103248</v>
      </c>
      <c r="E418" s="29">
        <v>0</v>
      </c>
      <c r="F418" s="29">
        <v>33.923519426327708</v>
      </c>
      <c r="G418" s="29">
        <v>0</v>
      </c>
      <c r="H418" s="29">
        <v>0</v>
      </c>
      <c r="I418" s="29">
        <v>48.046517543315048</v>
      </c>
      <c r="J418" s="29">
        <v>0</v>
      </c>
      <c r="K418" s="29">
        <v>45.302754161073914</v>
      </c>
      <c r="L418" s="30">
        <v>0</v>
      </c>
      <c r="M418" s="30">
        <v>0</v>
      </c>
    </row>
    <row r="419" spans="2:13" x14ac:dyDescent="0.25">
      <c r="B419" s="27">
        <v>416</v>
      </c>
      <c r="C419" s="29">
        <v>29.572409233672342</v>
      </c>
      <c r="D419" s="29">
        <v>0</v>
      </c>
      <c r="E419" s="29">
        <v>79.558725411307179</v>
      </c>
      <c r="F419" s="29">
        <v>0</v>
      </c>
      <c r="G419" s="29">
        <v>45.814321661263008</v>
      </c>
      <c r="H419" s="29">
        <v>57.433553462625291</v>
      </c>
      <c r="I419" s="29">
        <v>0</v>
      </c>
      <c r="J419" s="29">
        <v>0</v>
      </c>
      <c r="K419" s="29">
        <v>51.466984649596569</v>
      </c>
      <c r="L419" s="30">
        <v>0</v>
      </c>
      <c r="M419" s="30">
        <v>0</v>
      </c>
    </row>
    <row r="420" spans="2:13" x14ac:dyDescent="0.25">
      <c r="B420" s="27">
        <v>417</v>
      </c>
      <c r="C420" s="29">
        <v>20.960783216606217</v>
      </c>
      <c r="D420" s="29">
        <v>57.809126291230768</v>
      </c>
      <c r="E420" s="29">
        <v>111.24472762454215</v>
      </c>
      <c r="F420" s="29">
        <v>63.95933233784055</v>
      </c>
      <c r="G420" s="29">
        <v>0</v>
      </c>
      <c r="H420" s="29">
        <v>0</v>
      </c>
      <c r="I420" s="29">
        <v>0</v>
      </c>
      <c r="J420" s="29">
        <v>0</v>
      </c>
      <c r="K420" s="29">
        <v>30.436345332287861</v>
      </c>
      <c r="L420" s="30">
        <v>55.650409662836594</v>
      </c>
      <c r="M420" s="30">
        <v>0</v>
      </c>
    </row>
    <row r="421" spans="2:13" x14ac:dyDescent="0.25">
      <c r="B421" s="27">
        <v>418</v>
      </c>
      <c r="C421" s="29">
        <v>0</v>
      </c>
      <c r="D421" s="29">
        <v>69.632930080867908</v>
      </c>
      <c r="E421" s="29">
        <v>111.51588861497379</v>
      </c>
      <c r="F421" s="29">
        <v>46.692432195211353</v>
      </c>
      <c r="G421" s="29">
        <v>0</v>
      </c>
      <c r="H421" s="29">
        <v>0</v>
      </c>
      <c r="I421" s="29">
        <v>34.941281153885583</v>
      </c>
      <c r="J421" s="29">
        <v>18.657715135348006</v>
      </c>
      <c r="K421" s="29">
        <v>15.682297835473603</v>
      </c>
      <c r="L421" s="30">
        <v>0</v>
      </c>
      <c r="M421" s="30">
        <v>0</v>
      </c>
    </row>
    <row r="422" spans="2:13" x14ac:dyDescent="0.25">
      <c r="B422" s="27">
        <v>419</v>
      </c>
      <c r="C422" s="29">
        <v>45.10859788583376</v>
      </c>
      <c r="D422" s="29">
        <v>76.546023380722474</v>
      </c>
      <c r="E422" s="29">
        <v>0</v>
      </c>
      <c r="F422" s="29">
        <v>56.913405720068084</v>
      </c>
      <c r="G422" s="29">
        <v>0</v>
      </c>
      <c r="H422" s="29">
        <v>25.242423594282528</v>
      </c>
      <c r="I422" s="29">
        <v>0</v>
      </c>
      <c r="J422" s="29">
        <v>0</v>
      </c>
      <c r="K422" s="29">
        <v>61.089925596845625</v>
      </c>
      <c r="L422" s="30">
        <v>0</v>
      </c>
      <c r="M422" s="30">
        <v>0</v>
      </c>
    </row>
    <row r="423" spans="2:13" x14ac:dyDescent="0.25">
      <c r="B423" s="27">
        <v>420</v>
      </c>
      <c r="C423" s="29">
        <v>0</v>
      </c>
      <c r="D423" s="29">
        <v>70.583804689502756</v>
      </c>
      <c r="E423" s="29">
        <v>79.537342097529717</v>
      </c>
      <c r="F423" s="29">
        <v>17.638910241894379</v>
      </c>
      <c r="G423" s="29">
        <v>0</v>
      </c>
      <c r="H423" s="29">
        <v>0</v>
      </c>
      <c r="I423" s="29">
        <v>0</v>
      </c>
      <c r="J423" s="29">
        <v>45.730183602930516</v>
      </c>
      <c r="K423" s="29">
        <v>0</v>
      </c>
      <c r="L423" s="30">
        <v>0</v>
      </c>
      <c r="M423" s="30">
        <v>0</v>
      </c>
    </row>
    <row r="424" spans="2:13" x14ac:dyDescent="0.25">
      <c r="B424" s="27">
        <v>421</v>
      </c>
      <c r="C424" s="29">
        <v>57.627045957054534</v>
      </c>
      <c r="D424" s="29">
        <v>72.059819747540402</v>
      </c>
      <c r="E424" s="29">
        <v>135.22712075743436</v>
      </c>
      <c r="F424" s="29">
        <v>33.384542974270161</v>
      </c>
      <c r="G424" s="29">
        <v>0</v>
      </c>
      <c r="H424" s="29">
        <v>29.435881120379644</v>
      </c>
      <c r="I424" s="29">
        <v>0</v>
      </c>
      <c r="J424" s="29">
        <v>0</v>
      </c>
      <c r="K424" s="29">
        <v>59.132166229050711</v>
      </c>
      <c r="L424" s="30">
        <v>0</v>
      </c>
      <c r="M424" s="30">
        <v>0</v>
      </c>
    </row>
    <row r="425" spans="2:13" x14ac:dyDescent="0.25">
      <c r="B425" s="27">
        <v>422</v>
      </c>
      <c r="C425" s="29">
        <v>55.553166366774889</v>
      </c>
      <c r="D425" s="29">
        <v>67.594545864420397</v>
      </c>
      <c r="E425" s="29">
        <v>96.440569697059701</v>
      </c>
      <c r="F425" s="29">
        <v>0</v>
      </c>
      <c r="G425" s="29">
        <v>0</v>
      </c>
      <c r="H425" s="29">
        <v>0</v>
      </c>
      <c r="I425" s="29">
        <v>41.077484758292925</v>
      </c>
      <c r="J425" s="29">
        <v>0</v>
      </c>
      <c r="K425" s="29">
        <v>0</v>
      </c>
      <c r="L425" s="30">
        <v>0</v>
      </c>
      <c r="M425" s="30">
        <v>0</v>
      </c>
    </row>
    <row r="426" spans="2:13" x14ac:dyDescent="0.25">
      <c r="B426" s="27">
        <v>423</v>
      </c>
      <c r="C426" s="29">
        <v>40.312181166617265</v>
      </c>
      <c r="D426" s="29">
        <v>75.851243502510641</v>
      </c>
      <c r="E426" s="29">
        <v>0</v>
      </c>
      <c r="F426" s="29">
        <v>41.27623203733728</v>
      </c>
      <c r="G426" s="29">
        <v>0</v>
      </c>
      <c r="H426" s="29">
        <v>0</v>
      </c>
      <c r="I426" s="29">
        <v>31.655918822073549</v>
      </c>
      <c r="J426" s="29">
        <v>0</v>
      </c>
      <c r="K426" s="29">
        <v>38.938549287319923</v>
      </c>
      <c r="L426" s="30">
        <v>35.802050041201795</v>
      </c>
      <c r="M426" s="30">
        <v>0</v>
      </c>
    </row>
    <row r="427" spans="2:13" x14ac:dyDescent="0.25">
      <c r="B427" s="27">
        <v>424</v>
      </c>
      <c r="C427" s="29">
        <v>68.856235166481213</v>
      </c>
      <c r="D427" s="29">
        <v>0</v>
      </c>
      <c r="E427" s="29">
        <v>132.23367560157277</v>
      </c>
      <c r="F427" s="29">
        <v>51.518442618615758</v>
      </c>
      <c r="G427" s="29">
        <v>36.992641957253696</v>
      </c>
      <c r="H427" s="29">
        <v>0</v>
      </c>
      <c r="I427" s="29">
        <v>0</v>
      </c>
      <c r="J427" s="29">
        <v>0</v>
      </c>
      <c r="K427" s="29">
        <v>28.037226334299277</v>
      </c>
      <c r="L427" s="30">
        <v>0</v>
      </c>
      <c r="M427" s="30">
        <v>0</v>
      </c>
    </row>
    <row r="428" spans="2:13" x14ac:dyDescent="0.25">
      <c r="B428" s="27">
        <v>425</v>
      </c>
      <c r="C428" s="29">
        <v>50.358276796466335</v>
      </c>
      <c r="D428" s="29">
        <v>69.957222806325788</v>
      </c>
      <c r="E428" s="29">
        <v>74.114855033493384</v>
      </c>
      <c r="F428" s="29">
        <v>51.761269149821146</v>
      </c>
      <c r="G428" s="29">
        <v>0</v>
      </c>
      <c r="H428" s="29">
        <v>0</v>
      </c>
      <c r="I428" s="29">
        <v>44.02649897952972</v>
      </c>
      <c r="J428" s="29">
        <v>0</v>
      </c>
      <c r="K428" s="29">
        <v>27.322621060847478</v>
      </c>
      <c r="L428" s="30">
        <v>0</v>
      </c>
      <c r="M428" s="30">
        <v>0</v>
      </c>
    </row>
    <row r="429" spans="2:13" x14ac:dyDescent="0.25">
      <c r="B429" s="27">
        <v>426</v>
      </c>
      <c r="C429" s="29">
        <v>51.668445724129704</v>
      </c>
      <c r="D429" s="29">
        <v>72.750852151055327</v>
      </c>
      <c r="E429" s="29">
        <v>74.485156811769187</v>
      </c>
      <c r="F429" s="29">
        <v>42.080350655723009</v>
      </c>
      <c r="G429" s="29">
        <v>45.305682237613816</v>
      </c>
      <c r="H429" s="29">
        <v>0</v>
      </c>
      <c r="I429" s="29">
        <v>0</v>
      </c>
      <c r="J429" s="29">
        <v>60.999436619396533</v>
      </c>
      <c r="K429" s="29">
        <v>24.938703800955565</v>
      </c>
      <c r="L429" s="30">
        <v>0</v>
      </c>
      <c r="M429" s="30">
        <v>0</v>
      </c>
    </row>
    <row r="430" spans="2:13" x14ac:dyDescent="0.25">
      <c r="B430" s="27">
        <v>427</v>
      </c>
      <c r="C430" s="29">
        <v>21.273821036747968</v>
      </c>
      <c r="D430" s="29">
        <v>77.35421789670491</v>
      </c>
      <c r="E430" s="29">
        <v>74.836461547840472</v>
      </c>
      <c r="F430" s="29">
        <v>51.405078908968932</v>
      </c>
      <c r="G430" s="29">
        <v>0</v>
      </c>
      <c r="H430" s="29">
        <v>30.29516166035496</v>
      </c>
      <c r="I430" s="29">
        <v>0</v>
      </c>
      <c r="J430" s="29">
        <v>0</v>
      </c>
      <c r="K430" s="29">
        <v>68.473390707896968</v>
      </c>
      <c r="L430" s="30">
        <v>0</v>
      </c>
      <c r="M430" s="30">
        <v>0</v>
      </c>
    </row>
    <row r="431" spans="2:13" x14ac:dyDescent="0.25">
      <c r="B431" s="27">
        <v>428</v>
      </c>
      <c r="C431" s="29">
        <v>0</v>
      </c>
      <c r="D431" s="29">
        <v>51.163100633550954</v>
      </c>
      <c r="E431" s="29">
        <v>82.771459124988425</v>
      </c>
      <c r="F431" s="29">
        <v>31.461776310086481</v>
      </c>
      <c r="G431" s="29">
        <v>0</v>
      </c>
      <c r="H431" s="29">
        <v>0</v>
      </c>
      <c r="I431" s="29">
        <v>0</v>
      </c>
      <c r="J431" s="29">
        <v>0</v>
      </c>
      <c r="K431" s="29">
        <v>18.686155503213836</v>
      </c>
      <c r="L431" s="30">
        <v>0</v>
      </c>
      <c r="M431" s="30">
        <v>0</v>
      </c>
    </row>
    <row r="432" spans="2:13" x14ac:dyDescent="0.25">
      <c r="B432" s="27">
        <v>429</v>
      </c>
      <c r="C432" s="29">
        <v>44.086077474273083</v>
      </c>
      <c r="D432" s="29">
        <v>95.120096511790464</v>
      </c>
      <c r="E432" s="29">
        <v>110.48969168305321</v>
      </c>
      <c r="F432" s="29">
        <v>0</v>
      </c>
      <c r="G432" s="29">
        <v>0</v>
      </c>
      <c r="H432" s="29">
        <v>66.783609976325778</v>
      </c>
      <c r="I432" s="29">
        <v>0</v>
      </c>
      <c r="J432" s="29">
        <v>0</v>
      </c>
      <c r="K432" s="29">
        <v>52.208073055629512</v>
      </c>
      <c r="L432" s="30">
        <v>0</v>
      </c>
      <c r="M432" s="30">
        <v>0</v>
      </c>
    </row>
    <row r="433" spans="2:13" x14ac:dyDescent="0.25">
      <c r="B433" s="27">
        <v>430</v>
      </c>
      <c r="C433" s="29">
        <v>21.103810910416321</v>
      </c>
      <c r="D433" s="29">
        <v>77.637186536828779</v>
      </c>
      <c r="E433" s="29">
        <v>0</v>
      </c>
      <c r="F433" s="29">
        <v>26.893084181368408</v>
      </c>
      <c r="G433" s="29">
        <v>0</v>
      </c>
      <c r="H433" s="29">
        <v>0</v>
      </c>
      <c r="I433" s="29">
        <v>0</v>
      </c>
      <c r="J433" s="29">
        <v>53.857261296478043</v>
      </c>
      <c r="K433" s="29">
        <v>51.640433904228658</v>
      </c>
      <c r="L433" s="30">
        <v>0</v>
      </c>
      <c r="M433" s="30">
        <v>0</v>
      </c>
    </row>
    <row r="434" spans="2:13" x14ac:dyDescent="0.25">
      <c r="B434" s="27">
        <v>431</v>
      </c>
      <c r="C434" s="29">
        <v>33.846376997191612</v>
      </c>
      <c r="D434" s="29">
        <v>0</v>
      </c>
      <c r="E434" s="29">
        <v>92.111554369425832</v>
      </c>
      <c r="F434" s="29">
        <v>49.486987200998918</v>
      </c>
      <c r="G434" s="29">
        <v>0</v>
      </c>
      <c r="H434" s="29">
        <v>0</v>
      </c>
      <c r="I434" s="29">
        <v>33.018981218865846</v>
      </c>
      <c r="J434" s="29">
        <v>61.268063912921122</v>
      </c>
      <c r="K434" s="29">
        <v>0</v>
      </c>
      <c r="L434" s="30">
        <v>0</v>
      </c>
      <c r="M434" s="30">
        <v>0</v>
      </c>
    </row>
    <row r="435" spans="2:13" x14ac:dyDescent="0.25">
      <c r="B435" s="27">
        <v>432</v>
      </c>
      <c r="C435" s="29">
        <v>34.821740823410245</v>
      </c>
      <c r="D435" s="29">
        <v>56.232245736651713</v>
      </c>
      <c r="E435" s="29">
        <v>79.882189218808819</v>
      </c>
      <c r="F435" s="29">
        <v>49.888671097644909</v>
      </c>
      <c r="G435" s="29">
        <v>0</v>
      </c>
      <c r="H435" s="29">
        <v>0</v>
      </c>
      <c r="I435" s="29">
        <v>0</v>
      </c>
      <c r="J435" s="29">
        <v>0</v>
      </c>
      <c r="K435" s="29">
        <v>52.428921605796461</v>
      </c>
      <c r="L435" s="30">
        <v>0</v>
      </c>
      <c r="M435" s="30">
        <v>0</v>
      </c>
    </row>
    <row r="436" spans="2:13" x14ac:dyDescent="0.25">
      <c r="B436" s="27">
        <v>433</v>
      </c>
      <c r="C436" s="29">
        <v>34.167154529245806</v>
      </c>
      <c r="D436" s="29">
        <v>53.998213682295386</v>
      </c>
      <c r="E436" s="29">
        <v>124.82747578822051</v>
      </c>
      <c r="F436" s="29">
        <v>54.061362420884251</v>
      </c>
      <c r="G436" s="29">
        <v>0</v>
      </c>
      <c r="H436" s="29">
        <v>46.892850913324928</v>
      </c>
      <c r="I436" s="29">
        <v>0</v>
      </c>
      <c r="J436" s="29">
        <v>0</v>
      </c>
      <c r="K436" s="29">
        <v>0</v>
      </c>
      <c r="L436" s="30">
        <v>0</v>
      </c>
      <c r="M436" s="30">
        <v>0</v>
      </c>
    </row>
    <row r="437" spans="2:13" x14ac:dyDescent="0.25">
      <c r="B437" s="27">
        <v>434</v>
      </c>
      <c r="C437" s="29">
        <v>55.28515993253702</v>
      </c>
      <c r="D437" s="29">
        <v>56.738317826261799</v>
      </c>
      <c r="E437" s="29">
        <v>77.4147627007967</v>
      </c>
      <c r="F437" s="29">
        <v>44.139066634177503</v>
      </c>
      <c r="G437" s="29">
        <v>0</v>
      </c>
      <c r="H437" s="29">
        <v>0</v>
      </c>
      <c r="I437" s="29">
        <v>50.890214241500686</v>
      </c>
      <c r="J437" s="29">
        <v>0</v>
      </c>
      <c r="K437" s="29">
        <v>45.517141986509323</v>
      </c>
      <c r="L437" s="30">
        <v>0</v>
      </c>
      <c r="M437" s="30">
        <v>0</v>
      </c>
    </row>
    <row r="438" spans="2:13" x14ac:dyDescent="0.25">
      <c r="B438" s="27">
        <v>435</v>
      </c>
      <c r="C438" s="29">
        <v>48.550172763478841</v>
      </c>
      <c r="D438" s="29">
        <v>82.572449801376777</v>
      </c>
      <c r="E438" s="29">
        <v>99.461550919676483</v>
      </c>
      <c r="F438" s="29">
        <v>63.345455738437373</v>
      </c>
      <c r="G438" s="29">
        <v>0</v>
      </c>
      <c r="H438" s="29">
        <v>0</v>
      </c>
      <c r="I438" s="29">
        <v>30.845048776765985</v>
      </c>
      <c r="J438" s="29">
        <v>0</v>
      </c>
      <c r="K438" s="29">
        <v>23.869727341883429</v>
      </c>
      <c r="L438" s="30">
        <v>0</v>
      </c>
      <c r="M438" s="30">
        <v>0</v>
      </c>
    </row>
    <row r="439" spans="2:13" x14ac:dyDescent="0.25">
      <c r="B439" s="27">
        <v>436</v>
      </c>
      <c r="C439" s="29">
        <v>53.887834176327175</v>
      </c>
      <c r="D439" s="29">
        <v>84.250800816359373</v>
      </c>
      <c r="E439" s="29">
        <v>89.197214419383755</v>
      </c>
      <c r="F439" s="29">
        <v>59.792243927774678</v>
      </c>
      <c r="G439" s="29">
        <v>0</v>
      </c>
      <c r="H439" s="29">
        <v>40.505485413331279</v>
      </c>
      <c r="I439" s="29">
        <v>59.834458843548731</v>
      </c>
      <c r="J439" s="29">
        <v>0</v>
      </c>
      <c r="K439" s="29">
        <v>53.217132735951253</v>
      </c>
      <c r="L439" s="30">
        <v>0</v>
      </c>
      <c r="M439" s="30">
        <v>0</v>
      </c>
    </row>
    <row r="440" spans="2:13" x14ac:dyDescent="0.25">
      <c r="B440" s="27">
        <v>437</v>
      </c>
      <c r="C440" s="29">
        <v>42.700727126283816</v>
      </c>
      <c r="D440" s="29">
        <v>68.844527244936074</v>
      </c>
      <c r="E440" s="29">
        <v>91.466297518870462</v>
      </c>
      <c r="F440" s="29">
        <v>22.906287413019506</v>
      </c>
      <c r="G440" s="29">
        <v>0</v>
      </c>
      <c r="H440" s="29">
        <v>0</v>
      </c>
      <c r="I440" s="29">
        <v>20.146449911018415</v>
      </c>
      <c r="J440" s="29">
        <v>0</v>
      </c>
      <c r="K440" s="29">
        <v>54.586187935955508</v>
      </c>
      <c r="L440" s="30">
        <v>0</v>
      </c>
      <c r="M440" s="30">
        <v>0</v>
      </c>
    </row>
    <row r="441" spans="2:13" x14ac:dyDescent="0.25">
      <c r="B441" s="27">
        <v>438</v>
      </c>
      <c r="C441" s="29">
        <v>52.25301695362495</v>
      </c>
      <c r="D441" s="29">
        <v>0</v>
      </c>
      <c r="E441" s="29">
        <v>73.566897182455079</v>
      </c>
      <c r="F441" s="29">
        <v>44.750715771779753</v>
      </c>
      <c r="G441" s="29">
        <v>0</v>
      </c>
      <c r="H441" s="29">
        <v>0</v>
      </c>
      <c r="I441" s="29">
        <v>0</v>
      </c>
      <c r="J441" s="29">
        <v>37.614316301763722</v>
      </c>
      <c r="K441" s="29">
        <v>41.421342360401681</v>
      </c>
      <c r="L441" s="30">
        <v>0</v>
      </c>
      <c r="M441" s="30">
        <v>0</v>
      </c>
    </row>
    <row r="442" spans="2:13" x14ac:dyDescent="0.25">
      <c r="B442" s="27">
        <v>439</v>
      </c>
      <c r="C442" s="29">
        <v>54.210770983943789</v>
      </c>
      <c r="D442" s="29">
        <v>70.527005139746251</v>
      </c>
      <c r="E442" s="29">
        <v>119.0072491450471</v>
      </c>
      <c r="F442" s="29">
        <v>0</v>
      </c>
      <c r="G442" s="29">
        <v>0</v>
      </c>
      <c r="H442" s="29">
        <v>0</v>
      </c>
      <c r="I442" s="29">
        <v>42.607769599133746</v>
      </c>
      <c r="J442" s="29">
        <v>0</v>
      </c>
      <c r="K442" s="29">
        <v>55.075922904696462</v>
      </c>
      <c r="L442" s="30">
        <v>0</v>
      </c>
      <c r="M442" s="30">
        <v>0</v>
      </c>
    </row>
    <row r="443" spans="2:13" x14ac:dyDescent="0.25">
      <c r="B443" s="27">
        <v>440</v>
      </c>
      <c r="C443" s="29">
        <v>52.416212822856806</v>
      </c>
      <c r="D443" s="29">
        <v>0</v>
      </c>
      <c r="E443" s="29">
        <v>0</v>
      </c>
      <c r="F443" s="29">
        <v>57.866035133667665</v>
      </c>
      <c r="G443" s="29">
        <v>0</v>
      </c>
      <c r="H443" s="29">
        <v>0</v>
      </c>
      <c r="I443" s="29">
        <v>48.992862983332458</v>
      </c>
      <c r="J443" s="29">
        <v>0</v>
      </c>
      <c r="K443" s="29">
        <v>33.601171515201145</v>
      </c>
      <c r="L443" s="30">
        <v>0</v>
      </c>
      <c r="M443" s="30">
        <v>0</v>
      </c>
    </row>
    <row r="444" spans="2:13" x14ac:dyDescent="0.25">
      <c r="B444" s="27">
        <v>441</v>
      </c>
      <c r="C444" s="29">
        <v>51.684701074714496</v>
      </c>
      <c r="D444" s="29">
        <v>72.712046838135421</v>
      </c>
      <c r="E444" s="29">
        <v>65.742876404556597</v>
      </c>
      <c r="F444" s="29">
        <v>53.009753687676344</v>
      </c>
      <c r="G444" s="29">
        <v>0</v>
      </c>
      <c r="H444" s="29">
        <v>0</v>
      </c>
      <c r="I444" s="29">
        <v>0</v>
      </c>
      <c r="J444" s="29">
        <v>0</v>
      </c>
      <c r="K444" s="29">
        <v>58.277635497225646</v>
      </c>
      <c r="L444" s="30">
        <v>0</v>
      </c>
      <c r="M444" s="30">
        <v>0</v>
      </c>
    </row>
    <row r="445" spans="2:13" x14ac:dyDescent="0.25">
      <c r="B445" s="27">
        <v>442</v>
      </c>
      <c r="C445" s="29">
        <v>45.269607196863674</v>
      </c>
      <c r="D445" s="29">
        <v>87.724334718718367</v>
      </c>
      <c r="E445" s="29">
        <v>0</v>
      </c>
      <c r="F445" s="29">
        <v>47.382113143487715</v>
      </c>
      <c r="G445" s="29">
        <v>0</v>
      </c>
      <c r="H445" s="29">
        <v>0</v>
      </c>
      <c r="I445" s="29">
        <v>0</v>
      </c>
      <c r="J445" s="29">
        <v>0</v>
      </c>
      <c r="K445" s="29">
        <v>67.705681960912131</v>
      </c>
      <c r="L445" s="30">
        <v>0</v>
      </c>
      <c r="M445" s="30">
        <v>0</v>
      </c>
    </row>
    <row r="446" spans="2:13" x14ac:dyDescent="0.25">
      <c r="B446" s="27">
        <v>443</v>
      </c>
      <c r="C446" s="29">
        <v>43.551864737921797</v>
      </c>
      <c r="D446" s="29">
        <v>66.787795129689954</v>
      </c>
      <c r="E446" s="29">
        <v>79.277340917379519</v>
      </c>
      <c r="F446" s="29">
        <v>45.038571354468914</v>
      </c>
      <c r="G446" s="29">
        <v>0</v>
      </c>
      <c r="H446" s="29">
        <v>0</v>
      </c>
      <c r="I446" s="29">
        <v>33.179957613028819</v>
      </c>
      <c r="J446" s="29">
        <v>34.161037933415678</v>
      </c>
      <c r="K446" s="29">
        <v>53.881255231375398</v>
      </c>
      <c r="L446" s="30">
        <v>0</v>
      </c>
      <c r="M446" s="30">
        <v>0</v>
      </c>
    </row>
    <row r="447" spans="2:13" x14ac:dyDescent="0.25">
      <c r="B447" s="27">
        <v>444</v>
      </c>
      <c r="C447" s="29">
        <v>0</v>
      </c>
      <c r="D447" s="29">
        <v>0</v>
      </c>
      <c r="E447" s="29">
        <v>110.30819464199507</v>
      </c>
      <c r="F447" s="29">
        <v>51.444543666903371</v>
      </c>
      <c r="G447" s="29">
        <v>0</v>
      </c>
      <c r="H447" s="29">
        <v>0</v>
      </c>
      <c r="I447" s="29">
        <v>0</v>
      </c>
      <c r="J447" s="29">
        <v>0</v>
      </c>
      <c r="K447" s="29">
        <v>0</v>
      </c>
      <c r="L447" s="30">
        <v>0</v>
      </c>
      <c r="M447" s="30">
        <v>0</v>
      </c>
    </row>
    <row r="448" spans="2:13" x14ac:dyDescent="0.25">
      <c r="B448" s="27">
        <v>445</v>
      </c>
      <c r="C448" s="29">
        <v>53.791384316553618</v>
      </c>
      <c r="D448" s="29">
        <v>68.973102107973361</v>
      </c>
      <c r="E448" s="29">
        <v>105.62736883566109</v>
      </c>
      <c r="F448" s="29">
        <v>39.092574629757692</v>
      </c>
      <c r="G448" s="29">
        <v>0</v>
      </c>
      <c r="H448" s="29">
        <v>0</v>
      </c>
      <c r="I448" s="29">
        <v>54.030044418173475</v>
      </c>
      <c r="J448" s="29">
        <v>51.759204114352222</v>
      </c>
      <c r="K448" s="29">
        <v>0</v>
      </c>
      <c r="L448" s="30">
        <v>37.575753642584047</v>
      </c>
      <c r="M448" s="30">
        <v>0</v>
      </c>
    </row>
    <row r="449" spans="2:13" x14ac:dyDescent="0.25">
      <c r="B449" s="27">
        <v>446</v>
      </c>
      <c r="C449" s="29">
        <v>28.412640933916673</v>
      </c>
      <c r="D449" s="29">
        <v>92.719952716572678</v>
      </c>
      <c r="E449" s="29">
        <v>77.688133918537403</v>
      </c>
      <c r="F449" s="29">
        <v>47.822673864784797</v>
      </c>
      <c r="G449" s="29">
        <v>0</v>
      </c>
      <c r="H449" s="29">
        <v>0</v>
      </c>
      <c r="I449" s="29">
        <v>0</v>
      </c>
      <c r="J449" s="29">
        <v>0</v>
      </c>
      <c r="K449" s="29">
        <v>51.348508477982719</v>
      </c>
      <c r="L449" s="30">
        <v>0</v>
      </c>
      <c r="M449" s="30">
        <v>0</v>
      </c>
    </row>
    <row r="450" spans="2:13" x14ac:dyDescent="0.25">
      <c r="B450" s="27">
        <v>447</v>
      </c>
      <c r="C450" s="29">
        <v>26.274794381325812</v>
      </c>
      <c r="D450" s="29">
        <v>65.568723508241831</v>
      </c>
      <c r="E450" s="29">
        <v>92.492522345532365</v>
      </c>
      <c r="F450" s="29">
        <v>48.233625007335057</v>
      </c>
      <c r="G450" s="29">
        <v>0</v>
      </c>
      <c r="H450" s="29">
        <v>0</v>
      </c>
      <c r="I450" s="29">
        <v>0</v>
      </c>
      <c r="J450" s="29">
        <v>0</v>
      </c>
      <c r="K450" s="29">
        <v>20.773014963594974</v>
      </c>
      <c r="L450" s="30">
        <v>0</v>
      </c>
      <c r="M450" s="30">
        <v>0</v>
      </c>
    </row>
    <row r="451" spans="2:13" x14ac:dyDescent="0.25">
      <c r="B451" s="27">
        <v>448</v>
      </c>
      <c r="C451" s="29">
        <v>19.296052071029266</v>
      </c>
      <c r="D451" s="29">
        <v>91.304277039393256</v>
      </c>
      <c r="E451" s="29">
        <v>73.263066558929424</v>
      </c>
      <c r="F451" s="29">
        <v>46.579145546688402</v>
      </c>
      <c r="G451" s="29">
        <v>0</v>
      </c>
      <c r="H451" s="29">
        <v>49.957291573318422</v>
      </c>
      <c r="I451" s="29">
        <v>0</v>
      </c>
      <c r="J451" s="29">
        <v>0</v>
      </c>
      <c r="K451" s="29">
        <v>49.608481867636776</v>
      </c>
      <c r="L451" s="30">
        <v>0</v>
      </c>
      <c r="M451" s="30">
        <v>0</v>
      </c>
    </row>
    <row r="452" spans="2:13" x14ac:dyDescent="0.25">
      <c r="B452" s="27">
        <v>449</v>
      </c>
      <c r="C452" s="29">
        <v>38.582287836905429</v>
      </c>
      <c r="D452" s="29">
        <v>77.8547625382988</v>
      </c>
      <c r="E452" s="29">
        <v>109.01862910478981</v>
      </c>
      <c r="F452" s="29">
        <v>48.17218624906927</v>
      </c>
      <c r="G452" s="29">
        <v>0</v>
      </c>
      <c r="H452" s="29">
        <v>0</v>
      </c>
      <c r="I452" s="29">
        <v>0</v>
      </c>
      <c r="J452" s="29">
        <v>33.499757826588784</v>
      </c>
      <c r="K452" s="29">
        <v>43.298198571195073</v>
      </c>
      <c r="L452" s="30">
        <v>0</v>
      </c>
      <c r="M452" s="30">
        <v>0</v>
      </c>
    </row>
    <row r="453" spans="2:13" x14ac:dyDescent="0.25">
      <c r="B453" s="27">
        <v>450</v>
      </c>
      <c r="C453" s="29">
        <v>25.155518550859711</v>
      </c>
      <c r="D453" s="29">
        <v>57.586208079561217</v>
      </c>
      <c r="E453" s="29">
        <v>95.984174556883943</v>
      </c>
      <c r="F453" s="29">
        <v>60.433013669494485</v>
      </c>
      <c r="G453" s="29">
        <v>32.229363294480734</v>
      </c>
      <c r="H453" s="29">
        <v>0</v>
      </c>
      <c r="I453" s="29">
        <v>25.314031748078023</v>
      </c>
      <c r="J453" s="29">
        <v>0</v>
      </c>
      <c r="K453" s="29">
        <v>67.238939072291402</v>
      </c>
      <c r="L453" s="30">
        <v>0</v>
      </c>
      <c r="M453" s="30">
        <v>0</v>
      </c>
    </row>
    <row r="454" spans="2:13" x14ac:dyDescent="0.25">
      <c r="B454" s="27">
        <v>451</v>
      </c>
      <c r="C454" s="29">
        <v>0</v>
      </c>
      <c r="D454" s="29">
        <v>79.959882020726866</v>
      </c>
      <c r="E454" s="29">
        <v>0</v>
      </c>
      <c r="F454" s="29">
        <v>55.742227377958997</v>
      </c>
      <c r="G454" s="29">
        <v>0</v>
      </c>
      <c r="H454" s="29">
        <v>39.361146805263687</v>
      </c>
      <c r="I454" s="29">
        <v>57.342158112292879</v>
      </c>
      <c r="J454" s="29">
        <v>26.328888604151199</v>
      </c>
      <c r="K454" s="29">
        <v>16.407844052965107</v>
      </c>
      <c r="L454" s="30">
        <v>0</v>
      </c>
      <c r="M454" s="30">
        <v>0</v>
      </c>
    </row>
    <row r="455" spans="2:13" x14ac:dyDescent="0.25">
      <c r="B455" s="27">
        <v>452</v>
      </c>
      <c r="C455" s="29">
        <v>32.148099112180994</v>
      </c>
      <c r="D455" s="29">
        <v>84.551091961532919</v>
      </c>
      <c r="E455" s="29">
        <v>82.000148782635179</v>
      </c>
      <c r="F455" s="29">
        <v>46.577164509906126</v>
      </c>
      <c r="G455" s="29">
        <v>0</v>
      </c>
      <c r="H455" s="29">
        <v>0</v>
      </c>
      <c r="I455" s="29">
        <v>0</v>
      </c>
      <c r="J455" s="29">
        <v>0</v>
      </c>
      <c r="K455" s="29">
        <v>44.57839396136945</v>
      </c>
      <c r="L455" s="30">
        <v>0</v>
      </c>
      <c r="M455" s="30">
        <v>0</v>
      </c>
    </row>
    <row r="456" spans="2:13" x14ac:dyDescent="0.25">
      <c r="B456" s="27">
        <v>453</v>
      </c>
      <c r="C456" s="29">
        <v>16.438389920086557</v>
      </c>
      <c r="D456" s="29">
        <v>73.366896422095238</v>
      </c>
      <c r="E456" s="29">
        <v>93.943884088558391</v>
      </c>
      <c r="F456" s="29">
        <v>20.805696652789536</v>
      </c>
      <c r="G456" s="29">
        <v>25.92410943663478</v>
      </c>
      <c r="H456" s="29">
        <v>30.699015497730883</v>
      </c>
      <c r="I456" s="29">
        <v>38.117679851904676</v>
      </c>
      <c r="J456" s="29">
        <v>0</v>
      </c>
      <c r="K456" s="29">
        <v>48.602730783168745</v>
      </c>
      <c r="L456" s="30">
        <v>0</v>
      </c>
      <c r="M456" s="30">
        <v>0</v>
      </c>
    </row>
    <row r="457" spans="2:13" x14ac:dyDescent="0.25">
      <c r="B457" s="27">
        <v>454</v>
      </c>
      <c r="C457" s="29">
        <v>46.79137088624163</v>
      </c>
      <c r="D457" s="29">
        <v>75.131458744019568</v>
      </c>
      <c r="E457" s="29">
        <v>95.189158233257643</v>
      </c>
      <c r="F457" s="29">
        <v>53.182607179006069</v>
      </c>
      <c r="G457" s="29">
        <v>0</v>
      </c>
      <c r="H457" s="29">
        <v>0</v>
      </c>
      <c r="I457" s="29">
        <v>0</v>
      </c>
      <c r="J457" s="29">
        <v>44.678047493537569</v>
      </c>
      <c r="K457" s="29">
        <v>61.203023831347615</v>
      </c>
      <c r="L457" s="30">
        <v>0</v>
      </c>
      <c r="M457" s="30">
        <v>0</v>
      </c>
    </row>
    <row r="458" spans="2:13" x14ac:dyDescent="0.25">
      <c r="B458" s="27">
        <v>455</v>
      </c>
      <c r="C458" s="29">
        <v>51.835255777554806</v>
      </c>
      <c r="D458" s="29">
        <v>0</v>
      </c>
      <c r="E458" s="29">
        <v>112.70615197898373</v>
      </c>
      <c r="F458" s="29">
        <v>0</v>
      </c>
      <c r="G458" s="29">
        <v>58.537644953487387</v>
      </c>
      <c r="H458" s="29">
        <v>0</v>
      </c>
      <c r="I458" s="29">
        <v>0</v>
      </c>
      <c r="J458" s="29">
        <v>0</v>
      </c>
      <c r="K458" s="29">
        <v>19.987940569210078</v>
      </c>
      <c r="L458" s="30">
        <v>0</v>
      </c>
      <c r="M458" s="30">
        <v>0</v>
      </c>
    </row>
    <row r="459" spans="2:13" x14ac:dyDescent="0.25">
      <c r="B459" s="27">
        <v>456</v>
      </c>
      <c r="C459" s="29">
        <v>48.5359675188908</v>
      </c>
      <c r="D459" s="29">
        <v>0</v>
      </c>
      <c r="E459" s="29">
        <v>81.921066005913161</v>
      </c>
      <c r="F459" s="29">
        <v>55.237148150202216</v>
      </c>
      <c r="G459" s="29">
        <v>0</v>
      </c>
      <c r="H459" s="29">
        <v>0</v>
      </c>
      <c r="I459" s="29">
        <v>0</v>
      </c>
      <c r="J459" s="29">
        <v>0</v>
      </c>
      <c r="K459" s="29">
        <v>23.307674973044843</v>
      </c>
      <c r="L459" s="30">
        <v>0</v>
      </c>
      <c r="M459" s="30">
        <v>0</v>
      </c>
    </row>
    <row r="460" spans="2:13" x14ac:dyDescent="0.25">
      <c r="B460" s="27">
        <v>457</v>
      </c>
      <c r="C460" s="29">
        <v>49.322297954478792</v>
      </c>
      <c r="D460" s="29">
        <v>62.601181055739943</v>
      </c>
      <c r="E460" s="29">
        <v>0</v>
      </c>
      <c r="F460" s="29">
        <v>0</v>
      </c>
      <c r="G460" s="29">
        <v>51.987386258966716</v>
      </c>
      <c r="H460" s="29">
        <v>0</v>
      </c>
      <c r="I460" s="29">
        <v>0</v>
      </c>
      <c r="J460" s="29">
        <v>0</v>
      </c>
      <c r="K460" s="29">
        <v>0</v>
      </c>
      <c r="L460" s="30">
        <v>0</v>
      </c>
      <c r="M460" s="30">
        <v>0</v>
      </c>
    </row>
    <row r="461" spans="2:13" x14ac:dyDescent="0.25">
      <c r="B461" s="27">
        <v>458</v>
      </c>
      <c r="C461" s="29">
        <v>61.114632324624132</v>
      </c>
      <c r="D461" s="29">
        <v>0</v>
      </c>
      <c r="E461" s="29">
        <v>75.992584200938069</v>
      </c>
      <c r="F461" s="29">
        <v>40.69271364104776</v>
      </c>
      <c r="G461" s="29">
        <v>0</v>
      </c>
      <c r="H461" s="29">
        <v>0</v>
      </c>
      <c r="I461" s="29">
        <v>54.85613862820496</v>
      </c>
      <c r="J461" s="29">
        <v>0</v>
      </c>
      <c r="K461" s="29">
        <v>50.441454041501402</v>
      </c>
      <c r="L461" s="30">
        <v>0</v>
      </c>
      <c r="M461" s="30">
        <v>0</v>
      </c>
    </row>
    <row r="462" spans="2:13" x14ac:dyDescent="0.25">
      <c r="B462" s="27">
        <v>459</v>
      </c>
      <c r="C462" s="29">
        <v>36.584352644064566</v>
      </c>
      <c r="D462" s="29">
        <v>60.663485813043188</v>
      </c>
      <c r="E462" s="29">
        <v>0</v>
      </c>
      <c r="F462" s="29">
        <v>0</v>
      </c>
      <c r="G462" s="29">
        <v>0</v>
      </c>
      <c r="H462" s="29">
        <v>0</v>
      </c>
      <c r="I462" s="29">
        <v>0</v>
      </c>
      <c r="J462" s="29">
        <v>66.843150952124702</v>
      </c>
      <c r="K462" s="29">
        <v>17.031719710285486</v>
      </c>
      <c r="L462" s="30">
        <v>0</v>
      </c>
      <c r="M462" s="30">
        <v>0</v>
      </c>
    </row>
    <row r="463" spans="2:13" x14ac:dyDescent="0.25">
      <c r="B463" s="27">
        <v>460</v>
      </c>
      <c r="C463" s="29">
        <v>67.013759420894303</v>
      </c>
      <c r="D463" s="29">
        <v>74.718639855266446</v>
      </c>
      <c r="E463" s="29">
        <v>105.22771336720814</v>
      </c>
      <c r="F463" s="29">
        <v>0</v>
      </c>
      <c r="G463" s="29">
        <v>0</v>
      </c>
      <c r="H463" s="29">
        <v>0</v>
      </c>
      <c r="I463" s="29">
        <v>0</v>
      </c>
      <c r="J463" s="29">
        <v>46.639307071483962</v>
      </c>
      <c r="K463" s="29">
        <v>0</v>
      </c>
      <c r="L463" s="30">
        <v>0</v>
      </c>
      <c r="M463" s="30">
        <v>0</v>
      </c>
    </row>
    <row r="464" spans="2:13" x14ac:dyDescent="0.25">
      <c r="B464" s="27">
        <v>461</v>
      </c>
      <c r="C464" s="29">
        <v>39.108157534276131</v>
      </c>
      <c r="D464" s="29">
        <v>0</v>
      </c>
      <c r="E464" s="29">
        <v>0</v>
      </c>
      <c r="F464" s="29">
        <v>30.593999048137196</v>
      </c>
      <c r="G464" s="29">
        <v>0</v>
      </c>
      <c r="H464" s="29">
        <v>0</v>
      </c>
      <c r="I464" s="29">
        <v>0</v>
      </c>
      <c r="J464" s="29">
        <v>0</v>
      </c>
      <c r="K464" s="29">
        <v>51.020209315519445</v>
      </c>
      <c r="L464" s="30">
        <v>0</v>
      </c>
      <c r="M464" s="30">
        <v>0</v>
      </c>
    </row>
    <row r="465" spans="2:13" x14ac:dyDescent="0.25">
      <c r="B465" s="27">
        <v>462</v>
      </c>
      <c r="C465" s="29">
        <v>44.934760395221822</v>
      </c>
      <c r="D465" s="29">
        <v>70.119881165876635</v>
      </c>
      <c r="E465" s="29">
        <v>88.682513623643985</v>
      </c>
      <c r="F465" s="29">
        <v>0</v>
      </c>
      <c r="G465" s="29">
        <v>0</v>
      </c>
      <c r="H465" s="29">
        <v>0</v>
      </c>
      <c r="I465" s="29">
        <v>0</v>
      </c>
      <c r="J465" s="29">
        <v>0</v>
      </c>
      <c r="K465" s="29">
        <v>44.000309430983172</v>
      </c>
      <c r="L465" s="30">
        <v>0</v>
      </c>
      <c r="M465" s="30">
        <v>0</v>
      </c>
    </row>
    <row r="466" spans="2:13" x14ac:dyDescent="0.25">
      <c r="B466" s="27">
        <v>463</v>
      </c>
      <c r="C466" s="29">
        <v>47.682516600811788</v>
      </c>
      <c r="D466" s="29">
        <v>81.433202703722714</v>
      </c>
      <c r="E466" s="29">
        <v>0</v>
      </c>
      <c r="F466" s="29">
        <v>51.073774960077259</v>
      </c>
      <c r="G466" s="29">
        <v>0</v>
      </c>
      <c r="H466" s="29">
        <v>0</v>
      </c>
      <c r="I466" s="29">
        <v>59.467148869840308</v>
      </c>
      <c r="J466" s="29">
        <v>0</v>
      </c>
      <c r="K466" s="29">
        <v>49.626874262757752</v>
      </c>
      <c r="L466" s="30">
        <v>0</v>
      </c>
      <c r="M466" s="30">
        <v>0</v>
      </c>
    </row>
    <row r="467" spans="2:13" x14ac:dyDescent="0.25">
      <c r="B467" s="27">
        <v>464</v>
      </c>
      <c r="C467" s="29">
        <v>52.170781452991385</v>
      </c>
      <c r="D467" s="29">
        <v>67.140797157151752</v>
      </c>
      <c r="E467" s="29">
        <v>96.411210343793869</v>
      </c>
      <c r="F467" s="29">
        <v>55.143251344231601</v>
      </c>
      <c r="G467" s="29">
        <v>0</v>
      </c>
      <c r="H467" s="29">
        <v>0</v>
      </c>
      <c r="I467" s="29">
        <v>0</v>
      </c>
      <c r="J467" s="29">
        <v>53.984184550386885</v>
      </c>
      <c r="K467" s="29">
        <v>50.717501201848677</v>
      </c>
      <c r="L467" s="30">
        <v>0</v>
      </c>
      <c r="M467" s="30">
        <v>0</v>
      </c>
    </row>
    <row r="468" spans="2:13" x14ac:dyDescent="0.25">
      <c r="B468" s="27">
        <v>465</v>
      </c>
      <c r="C468" s="29">
        <v>0</v>
      </c>
      <c r="D468" s="29">
        <v>77.3876346647709</v>
      </c>
      <c r="E468" s="29">
        <v>0</v>
      </c>
      <c r="F468" s="29">
        <v>28.790970613633426</v>
      </c>
      <c r="G468" s="29">
        <v>52.172471714777643</v>
      </c>
      <c r="H468" s="29">
        <v>0</v>
      </c>
      <c r="I468" s="29">
        <v>0</v>
      </c>
      <c r="J468" s="29">
        <v>0</v>
      </c>
      <c r="K468" s="29">
        <v>0</v>
      </c>
      <c r="L468" s="30">
        <v>0</v>
      </c>
      <c r="M468" s="30">
        <v>0</v>
      </c>
    </row>
    <row r="469" spans="2:13" x14ac:dyDescent="0.25">
      <c r="B469" s="27">
        <v>466</v>
      </c>
      <c r="C469" s="29">
        <v>0</v>
      </c>
      <c r="D469" s="29">
        <v>70.058877032064885</v>
      </c>
      <c r="E469" s="29">
        <v>85.64606524476838</v>
      </c>
      <c r="F469" s="29">
        <v>29.327586759450067</v>
      </c>
      <c r="G469" s="29">
        <v>0</v>
      </c>
      <c r="H469" s="29">
        <v>0</v>
      </c>
      <c r="I469" s="29">
        <v>60.287340760126469</v>
      </c>
      <c r="J469" s="29">
        <v>0</v>
      </c>
      <c r="K469" s="29">
        <v>23.65447005620652</v>
      </c>
      <c r="L469" s="30">
        <v>0</v>
      </c>
      <c r="M469" s="30">
        <v>0</v>
      </c>
    </row>
    <row r="470" spans="2:13" x14ac:dyDescent="0.25">
      <c r="B470" s="27">
        <v>467</v>
      </c>
      <c r="C470" s="29">
        <v>56.750794880888428</v>
      </c>
      <c r="D470" s="29">
        <v>80.058484541890522</v>
      </c>
      <c r="E470" s="29">
        <v>78.958796088615998</v>
      </c>
      <c r="F470" s="29">
        <v>14.22005454495773</v>
      </c>
      <c r="G470" s="29">
        <v>0</v>
      </c>
      <c r="H470" s="29">
        <v>61.611599713682828</v>
      </c>
      <c r="I470" s="29">
        <v>0</v>
      </c>
      <c r="J470" s="29">
        <v>0</v>
      </c>
      <c r="K470" s="29">
        <v>57.577274288018415</v>
      </c>
      <c r="L470" s="30">
        <v>0</v>
      </c>
      <c r="M470" s="30">
        <v>0</v>
      </c>
    </row>
    <row r="471" spans="2:13" x14ac:dyDescent="0.25">
      <c r="B471" s="27">
        <v>468</v>
      </c>
      <c r="C471" s="29">
        <v>0</v>
      </c>
      <c r="D471" s="29">
        <v>80.885402014082615</v>
      </c>
      <c r="E471" s="29">
        <v>68.107416274192701</v>
      </c>
      <c r="F471" s="29">
        <v>57.425224642888217</v>
      </c>
      <c r="G471" s="29">
        <v>0</v>
      </c>
      <c r="H471" s="29">
        <v>0</v>
      </c>
      <c r="I471" s="29">
        <v>0</v>
      </c>
      <c r="J471" s="29">
        <v>64.063345527179422</v>
      </c>
      <c r="K471" s="29">
        <v>36.342277369224817</v>
      </c>
      <c r="L471" s="30">
        <v>0</v>
      </c>
      <c r="M471" s="30">
        <v>0</v>
      </c>
    </row>
    <row r="472" spans="2:13" x14ac:dyDescent="0.25">
      <c r="B472" s="27">
        <v>469</v>
      </c>
      <c r="C472" s="29">
        <v>45.076572998977895</v>
      </c>
      <c r="D472" s="29">
        <v>63.066148663996891</v>
      </c>
      <c r="E472" s="29">
        <v>80.396708850409382</v>
      </c>
      <c r="F472" s="29">
        <v>59.259164342210774</v>
      </c>
      <c r="G472" s="29">
        <v>0</v>
      </c>
      <c r="H472" s="29">
        <v>0</v>
      </c>
      <c r="I472" s="29">
        <v>38.149245477457583</v>
      </c>
      <c r="J472" s="29">
        <v>0</v>
      </c>
      <c r="K472" s="29">
        <v>56.113471168080487</v>
      </c>
      <c r="L472" s="30">
        <v>0</v>
      </c>
      <c r="M472" s="30">
        <v>0</v>
      </c>
    </row>
    <row r="473" spans="2:13" x14ac:dyDescent="0.25">
      <c r="B473" s="27">
        <v>470</v>
      </c>
      <c r="C473" s="29">
        <v>37.804589763795214</v>
      </c>
      <c r="D473" s="29">
        <v>72.766443735110187</v>
      </c>
      <c r="E473" s="29">
        <v>96.113922611228475</v>
      </c>
      <c r="F473" s="29">
        <v>0</v>
      </c>
      <c r="G473" s="29">
        <v>0</v>
      </c>
      <c r="H473" s="29">
        <v>0</v>
      </c>
      <c r="I473" s="29">
        <v>0</v>
      </c>
      <c r="J473" s="29">
        <v>0</v>
      </c>
      <c r="K473" s="29">
        <v>0</v>
      </c>
      <c r="L473" s="30">
        <v>0</v>
      </c>
      <c r="M473" s="30">
        <v>0</v>
      </c>
    </row>
    <row r="474" spans="2:13" x14ac:dyDescent="0.25">
      <c r="B474" s="27">
        <v>471</v>
      </c>
      <c r="C474" s="29">
        <v>27.000040792112674</v>
      </c>
      <c r="D474" s="29">
        <v>74.792700878068658</v>
      </c>
      <c r="E474" s="29">
        <v>65.133788335695442</v>
      </c>
      <c r="F474" s="29">
        <v>0</v>
      </c>
      <c r="G474" s="29">
        <v>31.541916899193659</v>
      </c>
      <c r="H474" s="29">
        <v>0</v>
      </c>
      <c r="I474" s="29">
        <v>31.755510882127716</v>
      </c>
      <c r="J474" s="29">
        <v>0</v>
      </c>
      <c r="K474" s="29">
        <v>47.01249332781201</v>
      </c>
      <c r="L474" s="30">
        <v>0</v>
      </c>
      <c r="M474" s="30">
        <v>0</v>
      </c>
    </row>
    <row r="475" spans="2:13" x14ac:dyDescent="0.25">
      <c r="B475" s="27">
        <v>472</v>
      </c>
      <c r="C475" s="29">
        <v>26.194159544319131</v>
      </c>
      <c r="D475" s="29">
        <v>82.64912165190961</v>
      </c>
      <c r="E475" s="29">
        <v>99.090291290834244</v>
      </c>
      <c r="F475" s="29">
        <v>51.590608699161493</v>
      </c>
      <c r="G475" s="29">
        <v>0</v>
      </c>
      <c r="H475" s="29">
        <v>0</v>
      </c>
      <c r="I475" s="29">
        <v>0</v>
      </c>
      <c r="J475" s="29">
        <v>0</v>
      </c>
      <c r="K475" s="29">
        <v>31.587544950215612</v>
      </c>
      <c r="L475" s="30">
        <v>0</v>
      </c>
      <c r="M475" s="30">
        <v>0</v>
      </c>
    </row>
    <row r="476" spans="2:13" x14ac:dyDescent="0.25">
      <c r="B476" s="27">
        <v>473</v>
      </c>
      <c r="C476" s="29">
        <v>54.577575285792953</v>
      </c>
      <c r="D476" s="29">
        <v>70.448706297712661</v>
      </c>
      <c r="E476" s="29">
        <v>109.55656495116307</v>
      </c>
      <c r="F476" s="29">
        <v>26.276219766888907</v>
      </c>
      <c r="G476" s="29">
        <v>0</v>
      </c>
      <c r="H476" s="29">
        <v>0</v>
      </c>
      <c r="I476" s="29">
        <v>49.676121252298927</v>
      </c>
      <c r="J476" s="29">
        <v>0</v>
      </c>
      <c r="K476" s="29">
        <v>35.795496965698206</v>
      </c>
      <c r="L476" s="30">
        <v>0</v>
      </c>
      <c r="M476" s="30">
        <v>0</v>
      </c>
    </row>
    <row r="477" spans="2:13" x14ac:dyDescent="0.25">
      <c r="B477" s="27">
        <v>474</v>
      </c>
      <c r="C477" s="29">
        <v>66.11823218692912</v>
      </c>
      <c r="D477" s="29">
        <v>82.133467687451258</v>
      </c>
      <c r="E477" s="29">
        <v>101.37376148870189</v>
      </c>
      <c r="F477" s="29">
        <v>44.880772698776198</v>
      </c>
      <c r="G477" s="29">
        <v>0</v>
      </c>
      <c r="H477" s="29">
        <v>0</v>
      </c>
      <c r="I477" s="29">
        <v>64.736253980099548</v>
      </c>
      <c r="J477" s="29">
        <v>48.043667093612626</v>
      </c>
      <c r="K477" s="29">
        <v>57.382219937468427</v>
      </c>
      <c r="L477" s="30">
        <v>0</v>
      </c>
      <c r="M477" s="30">
        <v>0</v>
      </c>
    </row>
    <row r="478" spans="2:13" x14ac:dyDescent="0.25">
      <c r="B478" s="27">
        <v>475</v>
      </c>
      <c r="C478" s="29">
        <v>25.857135466764785</v>
      </c>
      <c r="D478" s="29">
        <v>0</v>
      </c>
      <c r="E478" s="29">
        <v>88.327845355402772</v>
      </c>
      <c r="F478" s="29">
        <v>23.241497949060275</v>
      </c>
      <c r="G478" s="29">
        <v>0</v>
      </c>
      <c r="H478" s="29">
        <v>33.091209427432169</v>
      </c>
      <c r="I478" s="29">
        <v>49.373590894671921</v>
      </c>
      <c r="J478" s="29">
        <v>0</v>
      </c>
      <c r="K478" s="29">
        <v>51.001963618252319</v>
      </c>
      <c r="L478" s="30">
        <v>38.41661487060879</v>
      </c>
      <c r="M478" s="30">
        <v>0</v>
      </c>
    </row>
    <row r="479" spans="2:13" x14ac:dyDescent="0.25">
      <c r="B479" s="27">
        <v>476</v>
      </c>
      <c r="C479" s="29">
        <v>16.536748849195249</v>
      </c>
      <c r="D479" s="29">
        <v>68.744933291303198</v>
      </c>
      <c r="E479" s="29">
        <v>79.437522499181</v>
      </c>
      <c r="F479" s="29">
        <v>0</v>
      </c>
      <c r="G479" s="29">
        <v>37.558791698886864</v>
      </c>
      <c r="H479" s="29">
        <v>21.410964286561381</v>
      </c>
      <c r="I479" s="29">
        <v>0</v>
      </c>
      <c r="J479" s="29">
        <v>0</v>
      </c>
      <c r="K479" s="29">
        <v>24.878920045806804</v>
      </c>
      <c r="L479" s="30">
        <v>49.051907383023476</v>
      </c>
      <c r="M479" s="30">
        <v>0</v>
      </c>
    </row>
    <row r="480" spans="2:13" x14ac:dyDescent="0.25">
      <c r="B480" s="27">
        <v>477</v>
      </c>
      <c r="C480" s="29">
        <v>24.739394109407812</v>
      </c>
      <c r="D480" s="29">
        <v>0</v>
      </c>
      <c r="E480" s="29">
        <v>79.912645194505529</v>
      </c>
      <c r="F480" s="29">
        <v>40.479954784638387</v>
      </c>
      <c r="G480" s="29">
        <v>0</v>
      </c>
      <c r="H480" s="29">
        <v>0</v>
      </c>
      <c r="I480" s="29">
        <v>55.462030001954311</v>
      </c>
      <c r="J480" s="29">
        <v>0</v>
      </c>
      <c r="K480" s="29">
        <v>32.820380815358035</v>
      </c>
      <c r="L480" s="30">
        <v>0</v>
      </c>
      <c r="M480" s="30">
        <v>0</v>
      </c>
    </row>
    <row r="481" spans="2:13" x14ac:dyDescent="0.25">
      <c r="B481" s="27">
        <v>478</v>
      </c>
      <c r="C481" s="29">
        <v>35.052780280428799</v>
      </c>
      <c r="D481" s="29">
        <v>60.97022314339921</v>
      </c>
      <c r="E481" s="29">
        <v>98.694227222381386</v>
      </c>
      <c r="F481" s="29">
        <v>0</v>
      </c>
      <c r="G481" s="29">
        <v>0</v>
      </c>
      <c r="H481" s="29">
        <v>0</v>
      </c>
      <c r="I481" s="29">
        <v>52.020521752756437</v>
      </c>
      <c r="J481" s="29">
        <v>0</v>
      </c>
      <c r="K481" s="29">
        <v>49.103413886768429</v>
      </c>
      <c r="L481" s="30">
        <v>0</v>
      </c>
      <c r="M481" s="30">
        <v>0</v>
      </c>
    </row>
    <row r="482" spans="2:13" x14ac:dyDescent="0.25">
      <c r="B482" s="27">
        <v>479</v>
      </c>
      <c r="C482" s="29">
        <v>55.31149470036577</v>
      </c>
      <c r="D482" s="29">
        <v>63.635898525090951</v>
      </c>
      <c r="E482" s="29">
        <v>91.152613469002659</v>
      </c>
      <c r="F482" s="29">
        <v>0</v>
      </c>
      <c r="G482" s="29">
        <v>0</v>
      </c>
      <c r="H482" s="29">
        <v>54.510254465534736</v>
      </c>
      <c r="I482" s="29">
        <v>53.793237320861337</v>
      </c>
      <c r="J482" s="29">
        <v>0</v>
      </c>
      <c r="K482" s="29">
        <v>61.430139066648579</v>
      </c>
      <c r="L482" s="30">
        <v>0</v>
      </c>
      <c r="M482" s="30">
        <v>0</v>
      </c>
    </row>
    <row r="483" spans="2:13" x14ac:dyDescent="0.25">
      <c r="B483" s="27">
        <v>480</v>
      </c>
      <c r="C483" s="29">
        <v>0</v>
      </c>
      <c r="D483" s="29">
        <v>77.185275860361998</v>
      </c>
      <c r="E483" s="29">
        <v>138.61852265992957</v>
      </c>
      <c r="F483" s="29">
        <v>46.103029514190794</v>
      </c>
      <c r="G483" s="29">
        <v>31.974917910875554</v>
      </c>
      <c r="H483" s="29">
        <v>20.85939240364025</v>
      </c>
      <c r="I483" s="29">
        <v>0</v>
      </c>
      <c r="J483" s="29">
        <v>40.260645758150744</v>
      </c>
      <c r="K483" s="29">
        <v>35.462231901262157</v>
      </c>
      <c r="L483" s="30">
        <v>0</v>
      </c>
      <c r="M483" s="30">
        <v>0</v>
      </c>
    </row>
    <row r="484" spans="2:13" x14ac:dyDescent="0.25">
      <c r="B484" s="27">
        <v>481</v>
      </c>
      <c r="C484" s="29">
        <v>24.847430861698051</v>
      </c>
      <c r="D484" s="29">
        <v>77.590253449079214</v>
      </c>
      <c r="E484" s="29">
        <v>0</v>
      </c>
      <c r="F484" s="29">
        <v>0</v>
      </c>
      <c r="G484" s="29">
        <v>0</v>
      </c>
      <c r="H484" s="29">
        <v>0</v>
      </c>
      <c r="I484" s="29">
        <v>0</v>
      </c>
      <c r="J484" s="29">
        <v>0</v>
      </c>
      <c r="K484" s="29">
        <v>43.28674616834023</v>
      </c>
      <c r="L484" s="30">
        <v>60.566505806596481</v>
      </c>
      <c r="M484" s="30">
        <v>0</v>
      </c>
    </row>
    <row r="485" spans="2:13" x14ac:dyDescent="0.25">
      <c r="B485" s="27">
        <v>482</v>
      </c>
      <c r="C485" s="29">
        <v>48.997300335024114</v>
      </c>
      <c r="D485" s="29">
        <v>0</v>
      </c>
      <c r="E485" s="29">
        <v>0</v>
      </c>
      <c r="F485" s="29">
        <v>40.26078563789271</v>
      </c>
      <c r="G485" s="29">
        <v>0</v>
      </c>
      <c r="H485" s="29">
        <v>0</v>
      </c>
      <c r="I485" s="29">
        <v>0</v>
      </c>
      <c r="J485" s="29">
        <v>0</v>
      </c>
      <c r="K485" s="29">
        <v>53.0115471909007</v>
      </c>
      <c r="L485" s="30">
        <v>37.726913445500159</v>
      </c>
      <c r="M485" s="30">
        <v>0</v>
      </c>
    </row>
    <row r="486" spans="2:13" x14ac:dyDescent="0.25">
      <c r="B486" s="27">
        <v>483</v>
      </c>
      <c r="C486" s="29">
        <v>45.671335974914598</v>
      </c>
      <c r="D486" s="29">
        <v>87.7439592401429</v>
      </c>
      <c r="E486" s="29">
        <v>0</v>
      </c>
      <c r="F486" s="29">
        <v>53.169969307065955</v>
      </c>
      <c r="G486" s="29">
        <v>0</v>
      </c>
      <c r="H486" s="29">
        <v>0</v>
      </c>
      <c r="I486" s="29">
        <v>0</v>
      </c>
      <c r="J486" s="29">
        <v>0</v>
      </c>
      <c r="K486" s="29">
        <v>31.262964009516693</v>
      </c>
      <c r="L486" s="30">
        <v>0</v>
      </c>
      <c r="M486" s="30">
        <v>0</v>
      </c>
    </row>
    <row r="487" spans="2:13" x14ac:dyDescent="0.25">
      <c r="B487" s="27">
        <v>484</v>
      </c>
      <c r="C487" s="29">
        <v>30.622684600141813</v>
      </c>
      <c r="D487" s="29">
        <v>0</v>
      </c>
      <c r="E487" s="29">
        <v>0</v>
      </c>
      <c r="F487" s="29">
        <v>65.92558612034658</v>
      </c>
      <c r="G487" s="29">
        <v>0</v>
      </c>
      <c r="H487" s="29">
        <v>0</v>
      </c>
      <c r="I487" s="29">
        <v>0</v>
      </c>
      <c r="J487" s="29">
        <v>0</v>
      </c>
      <c r="K487" s="29">
        <v>28.365346727913039</v>
      </c>
      <c r="L487" s="30">
        <v>0</v>
      </c>
      <c r="M487" s="30">
        <v>0</v>
      </c>
    </row>
    <row r="488" spans="2:13" x14ac:dyDescent="0.25">
      <c r="B488" s="27">
        <v>485</v>
      </c>
      <c r="C488" s="29">
        <v>51.260890356452684</v>
      </c>
      <c r="D488" s="29">
        <v>56.281149901484362</v>
      </c>
      <c r="E488" s="29">
        <v>71.36088031265858</v>
      </c>
      <c r="F488" s="29">
        <v>0</v>
      </c>
      <c r="G488" s="29">
        <v>0</v>
      </c>
      <c r="H488" s="29">
        <v>0</v>
      </c>
      <c r="I488" s="29">
        <v>0</v>
      </c>
      <c r="J488" s="29">
        <v>0</v>
      </c>
      <c r="K488" s="29">
        <v>0</v>
      </c>
      <c r="L488" s="30">
        <v>0</v>
      </c>
      <c r="M488" s="30">
        <v>0</v>
      </c>
    </row>
    <row r="489" spans="2:13" x14ac:dyDescent="0.25">
      <c r="B489" s="27">
        <v>486</v>
      </c>
      <c r="C489" s="29">
        <v>34.657308144974209</v>
      </c>
      <c r="D489" s="29">
        <v>89.962503203010883</v>
      </c>
      <c r="E489" s="29">
        <v>104.21796360104391</v>
      </c>
      <c r="F489" s="29">
        <v>23.439324412109549</v>
      </c>
      <c r="G489" s="29">
        <v>0</v>
      </c>
      <c r="H489" s="29">
        <v>30.376778803403198</v>
      </c>
      <c r="I489" s="29">
        <v>60.022554092520316</v>
      </c>
      <c r="J489" s="29">
        <v>0</v>
      </c>
      <c r="K489" s="29">
        <v>61.470058333174123</v>
      </c>
      <c r="L489" s="30">
        <v>0</v>
      </c>
      <c r="M489" s="30">
        <v>0</v>
      </c>
    </row>
    <row r="490" spans="2:13" x14ac:dyDescent="0.25">
      <c r="B490" s="27">
        <v>487</v>
      </c>
      <c r="C490" s="29">
        <v>62.079091366893877</v>
      </c>
      <c r="D490" s="29">
        <v>62.60727874656412</v>
      </c>
      <c r="E490" s="29">
        <v>63.566307180920255</v>
      </c>
      <c r="F490" s="29">
        <v>29.963927054423426</v>
      </c>
      <c r="G490" s="29">
        <v>0</v>
      </c>
      <c r="H490" s="29">
        <v>0</v>
      </c>
      <c r="I490" s="29">
        <v>0</v>
      </c>
      <c r="J490" s="29">
        <v>23.676148465166897</v>
      </c>
      <c r="K490" s="29">
        <v>0</v>
      </c>
      <c r="L490" s="30">
        <v>0</v>
      </c>
      <c r="M490" s="30">
        <v>0</v>
      </c>
    </row>
    <row r="491" spans="2:13" x14ac:dyDescent="0.25">
      <c r="B491" s="27">
        <v>488</v>
      </c>
      <c r="C491" s="29">
        <v>0</v>
      </c>
      <c r="D491" s="29">
        <v>0</v>
      </c>
      <c r="E491" s="29">
        <v>87.463814204482915</v>
      </c>
      <c r="F491" s="29">
        <v>0</v>
      </c>
      <c r="G491" s="29">
        <v>0</v>
      </c>
      <c r="H491" s="29">
        <v>0</v>
      </c>
      <c r="I491" s="29">
        <v>45.739260804346486</v>
      </c>
      <c r="J491" s="29">
        <v>54.883743586669603</v>
      </c>
      <c r="K491" s="29">
        <v>52.704158969751361</v>
      </c>
      <c r="L491" s="30">
        <v>0</v>
      </c>
      <c r="M491" s="30">
        <v>0</v>
      </c>
    </row>
    <row r="492" spans="2:13" x14ac:dyDescent="0.25">
      <c r="B492" s="27">
        <v>489</v>
      </c>
      <c r="C492" s="29">
        <v>37.381012434552694</v>
      </c>
      <c r="D492" s="29">
        <v>72.646377272423848</v>
      </c>
      <c r="E492" s="29">
        <v>0</v>
      </c>
      <c r="F492" s="29">
        <v>38.883990006998467</v>
      </c>
      <c r="G492" s="29">
        <v>0</v>
      </c>
      <c r="H492" s="29">
        <v>0</v>
      </c>
      <c r="I492" s="29">
        <v>0</v>
      </c>
      <c r="J492" s="29">
        <v>0</v>
      </c>
      <c r="K492" s="29">
        <v>44.238685930656573</v>
      </c>
      <c r="L492" s="30">
        <v>48.872854525984636</v>
      </c>
      <c r="M492" s="30">
        <v>0</v>
      </c>
    </row>
    <row r="493" spans="2:13" x14ac:dyDescent="0.25">
      <c r="B493" s="27">
        <v>490</v>
      </c>
      <c r="C493" s="29">
        <v>34.394352954581393</v>
      </c>
      <c r="D493" s="29">
        <v>68.922145960603387</v>
      </c>
      <c r="E493" s="29">
        <v>117.32253415155944</v>
      </c>
      <c r="F493" s="29">
        <v>0</v>
      </c>
      <c r="G493" s="29">
        <v>0</v>
      </c>
      <c r="H493" s="29">
        <v>0</v>
      </c>
      <c r="I493" s="29">
        <v>0</v>
      </c>
      <c r="J493" s="29">
        <v>0</v>
      </c>
      <c r="K493" s="29">
        <v>23.470504003283697</v>
      </c>
      <c r="L493" s="30">
        <v>0</v>
      </c>
      <c r="M493" s="30">
        <v>0</v>
      </c>
    </row>
    <row r="494" spans="2:13" x14ac:dyDescent="0.25">
      <c r="B494" s="27">
        <v>491</v>
      </c>
      <c r="C494" s="29">
        <v>57.156535485982715</v>
      </c>
      <c r="D494" s="29">
        <v>53.272876479660162</v>
      </c>
      <c r="E494" s="29">
        <v>0</v>
      </c>
      <c r="F494" s="29">
        <v>44.481294722036054</v>
      </c>
      <c r="G494" s="29">
        <v>0</v>
      </c>
      <c r="H494" s="29">
        <v>15.961408149830735</v>
      </c>
      <c r="I494" s="29">
        <v>0</v>
      </c>
      <c r="J494" s="29">
        <v>0</v>
      </c>
      <c r="K494" s="29">
        <v>52.106783258664365</v>
      </c>
      <c r="L494" s="30">
        <v>0</v>
      </c>
      <c r="M494" s="30">
        <v>0</v>
      </c>
    </row>
    <row r="495" spans="2:13" x14ac:dyDescent="0.25">
      <c r="B495" s="27">
        <v>492</v>
      </c>
      <c r="C495" s="29">
        <v>36.326571479309692</v>
      </c>
      <c r="D495" s="29">
        <v>71.212203892999071</v>
      </c>
      <c r="E495" s="29">
        <v>92.098996627605302</v>
      </c>
      <c r="F495" s="29">
        <v>21.727358210210749</v>
      </c>
      <c r="G495" s="29">
        <v>0</v>
      </c>
      <c r="H495" s="29">
        <v>0</v>
      </c>
      <c r="I495" s="29">
        <v>0</v>
      </c>
      <c r="J495" s="29">
        <v>0</v>
      </c>
      <c r="K495" s="29">
        <v>50.472816120669371</v>
      </c>
      <c r="L495" s="30">
        <v>48.830304494247265</v>
      </c>
      <c r="M495" s="30">
        <v>0</v>
      </c>
    </row>
    <row r="496" spans="2:13" x14ac:dyDescent="0.25">
      <c r="B496" s="27">
        <v>493</v>
      </c>
      <c r="C496" s="29">
        <v>49.779723659727829</v>
      </c>
      <c r="D496" s="29">
        <v>62.400597364024698</v>
      </c>
      <c r="E496" s="29">
        <v>0</v>
      </c>
      <c r="F496" s="29">
        <v>39.458206036887205</v>
      </c>
      <c r="G496" s="29">
        <v>0</v>
      </c>
      <c r="H496" s="29">
        <v>0</v>
      </c>
      <c r="I496" s="29">
        <v>0</v>
      </c>
      <c r="J496" s="29">
        <v>0</v>
      </c>
      <c r="K496" s="29">
        <v>0</v>
      </c>
      <c r="L496" s="30">
        <v>0</v>
      </c>
      <c r="M496" s="30">
        <v>0</v>
      </c>
    </row>
    <row r="497" spans="2:13" x14ac:dyDescent="0.25">
      <c r="B497" s="27">
        <v>494</v>
      </c>
      <c r="C497" s="29">
        <v>47.503621389738136</v>
      </c>
      <c r="D497" s="29">
        <v>0</v>
      </c>
      <c r="E497" s="29">
        <v>0</v>
      </c>
      <c r="F497" s="29">
        <v>41.292082482014692</v>
      </c>
      <c r="G497" s="29">
        <v>0</v>
      </c>
      <c r="H497" s="29">
        <v>0</v>
      </c>
      <c r="I497" s="29">
        <v>0</v>
      </c>
      <c r="J497" s="29">
        <v>0</v>
      </c>
      <c r="K497" s="29">
        <v>38.515552308476046</v>
      </c>
      <c r="L497" s="30">
        <v>0</v>
      </c>
      <c r="M497" s="30">
        <v>0</v>
      </c>
    </row>
    <row r="498" spans="2:13" x14ac:dyDescent="0.25">
      <c r="B498" s="27">
        <v>495</v>
      </c>
      <c r="C498" s="29">
        <v>53.093307378316403</v>
      </c>
      <c r="D498" s="29">
        <v>0</v>
      </c>
      <c r="E498" s="29">
        <v>0</v>
      </c>
      <c r="F498" s="29">
        <v>39.489764692482765</v>
      </c>
      <c r="G498" s="29">
        <v>0</v>
      </c>
      <c r="H498" s="29">
        <v>53.121241406332921</v>
      </c>
      <c r="I498" s="29">
        <v>32.122177514375174</v>
      </c>
      <c r="J498" s="29">
        <v>37.402762367266426</v>
      </c>
      <c r="K498" s="29">
        <v>44.235904260551088</v>
      </c>
      <c r="L498" s="30">
        <v>0</v>
      </c>
      <c r="M498" s="30">
        <v>0</v>
      </c>
    </row>
    <row r="499" spans="2:13" x14ac:dyDescent="0.25">
      <c r="B499" s="27">
        <v>496</v>
      </c>
      <c r="C499" s="29">
        <v>35.913741754797257</v>
      </c>
      <c r="D499" s="29">
        <v>80.069986355033961</v>
      </c>
      <c r="E499" s="29">
        <v>118.43557839481704</v>
      </c>
      <c r="F499" s="29">
        <v>40.61096227107118</v>
      </c>
      <c r="G499" s="29">
        <v>0</v>
      </c>
      <c r="H499" s="29">
        <v>0</v>
      </c>
      <c r="I499" s="29">
        <v>0</v>
      </c>
      <c r="J499" s="29">
        <v>0</v>
      </c>
      <c r="K499" s="29">
        <v>15.907352624117275</v>
      </c>
      <c r="L499" s="30">
        <v>0</v>
      </c>
      <c r="M499" s="30">
        <v>0</v>
      </c>
    </row>
    <row r="500" spans="2:13" x14ac:dyDescent="0.25">
      <c r="B500" s="27">
        <v>497</v>
      </c>
      <c r="C500" s="29">
        <v>35.582309540802157</v>
      </c>
      <c r="D500" s="29">
        <v>81.923286464693419</v>
      </c>
      <c r="E500" s="29">
        <v>0</v>
      </c>
      <c r="F500" s="29">
        <v>49.739634073162989</v>
      </c>
      <c r="G500" s="29">
        <v>0</v>
      </c>
      <c r="H500" s="29">
        <v>0</v>
      </c>
      <c r="I500" s="29">
        <v>36.573532936347192</v>
      </c>
      <c r="J500" s="29">
        <v>0</v>
      </c>
      <c r="K500" s="29">
        <v>0</v>
      </c>
      <c r="L500" s="30">
        <v>0</v>
      </c>
      <c r="M500" s="30">
        <v>0</v>
      </c>
    </row>
    <row r="501" spans="2:13" x14ac:dyDescent="0.25">
      <c r="B501" s="27">
        <v>498</v>
      </c>
      <c r="C501" s="29">
        <v>42.007754942087232</v>
      </c>
      <c r="D501" s="29">
        <v>76.86496378824954</v>
      </c>
      <c r="E501" s="29">
        <v>110.82393977405501</v>
      </c>
      <c r="F501" s="29">
        <v>38.180817208177835</v>
      </c>
      <c r="G501" s="29">
        <v>0</v>
      </c>
      <c r="H501" s="29">
        <v>0</v>
      </c>
      <c r="I501" s="29">
        <v>0</v>
      </c>
      <c r="J501" s="29">
        <v>0</v>
      </c>
      <c r="K501" s="29">
        <v>41.578132019170027</v>
      </c>
      <c r="L501" s="30">
        <v>0</v>
      </c>
      <c r="M501" s="30">
        <v>0</v>
      </c>
    </row>
    <row r="502" spans="2:13" x14ac:dyDescent="0.25">
      <c r="B502" s="27">
        <v>499</v>
      </c>
      <c r="C502" s="29">
        <v>36.204804161648426</v>
      </c>
      <c r="D502" s="29">
        <v>89.604750393703824</v>
      </c>
      <c r="E502" s="29">
        <v>0</v>
      </c>
      <c r="F502" s="29">
        <v>53.474276820340435</v>
      </c>
      <c r="G502" s="29">
        <v>0</v>
      </c>
      <c r="H502" s="29">
        <v>44.693020046346767</v>
      </c>
      <c r="I502" s="29">
        <v>50.067267461865931</v>
      </c>
      <c r="J502" s="29">
        <v>0</v>
      </c>
      <c r="K502" s="29">
        <v>46.727032316735652</v>
      </c>
      <c r="L502" s="30">
        <v>0</v>
      </c>
      <c r="M502" s="30">
        <v>0</v>
      </c>
    </row>
    <row r="503" spans="2:13" x14ac:dyDescent="0.25">
      <c r="B503" s="27">
        <v>500</v>
      </c>
      <c r="C503" s="29">
        <v>0</v>
      </c>
      <c r="D503" s="29">
        <v>69.236438390287688</v>
      </c>
      <c r="E503" s="29">
        <v>0</v>
      </c>
      <c r="F503" s="29">
        <v>27.812284783023092</v>
      </c>
      <c r="G503" s="29">
        <v>0</v>
      </c>
      <c r="H503" s="29">
        <v>0</v>
      </c>
      <c r="I503" s="29">
        <v>0</v>
      </c>
      <c r="J503" s="29">
        <v>0</v>
      </c>
      <c r="K503" s="29">
        <v>41.864199840887025</v>
      </c>
      <c r="L503" s="30">
        <v>0</v>
      </c>
      <c r="M503" s="30">
        <v>0</v>
      </c>
    </row>
    <row r="504" spans="2:13" x14ac:dyDescent="0.25">
      <c r="B504" s="27">
        <v>501</v>
      </c>
      <c r="C504" s="29">
        <v>57.292289589447797</v>
      </c>
      <c r="D504" s="29">
        <v>71.735488189560499</v>
      </c>
      <c r="E504" s="29">
        <v>0</v>
      </c>
      <c r="F504" s="29">
        <v>0</v>
      </c>
      <c r="G504" s="29">
        <v>0</v>
      </c>
      <c r="H504" s="29">
        <v>0</v>
      </c>
      <c r="I504" s="29">
        <v>34.131140321170491</v>
      </c>
      <c r="J504" s="29">
        <v>0</v>
      </c>
      <c r="K504" s="29">
        <v>43.016817071502587</v>
      </c>
      <c r="L504" s="30">
        <v>0</v>
      </c>
      <c r="M504" s="30">
        <v>0</v>
      </c>
    </row>
    <row r="505" spans="2:13" x14ac:dyDescent="0.25">
      <c r="B505" s="27">
        <v>502</v>
      </c>
      <c r="C505" s="29">
        <v>39.918685565183601</v>
      </c>
      <c r="D505" s="29">
        <v>89.228878626839801</v>
      </c>
      <c r="E505" s="29">
        <v>78.990663279523829</v>
      </c>
      <c r="F505" s="29">
        <v>51.851516609339114</v>
      </c>
      <c r="G505" s="29">
        <v>0</v>
      </c>
      <c r="H505" s="29">
        <v>0</v>
      </c>
      <c r="I505" s="29">
        <v>0</v>
      </c>
      <c r="J505" s="29">
        <v>0</v>
      </c>
      <c r="K505" s="29">
        <v>61.109039808467415</v>
      </c>
      <c r="L505" s="30">
        <v>0</v>
      </c>
      <c r="M505" s="30">
        <v>0</v>
      </c>
    </row>
    <row r="506" spans="2:13" x14ac:dyDescent="0.25">
      <c r="B506" s="27">
        <v>503</v>
      </c>
      <c r="C506" s="29">
        <v>38.074539332719212</v>
      </c>
      <c r="D506" s="29">
        <v>86.553692581190063</v>
      </c>
      <c r="E506" s="29">
        <v>0</v>
      </c>
      <c r="F506" s="29">
        <v>36.411278159696295</v>
      </c>
      <c r="G506" s="29">
        <v>0</v>
      </c>
      <c r="H506" s="29">
        <v>0</v>
      </c>
      <c r="I506" s="29">
        <v>48.16297826486273</v>
      </c>
      <c r="J506" s="29">
        <v>0</v>
      </c>
      <c r="K506" s="29">
        <v>52.133831628389856</v>
      </c>
      <c r="L506" s="30">
        <v>0</v>
      </c>
      <c r="M506" s="30">
        <v>0</v>
      </c>
    </row>
    <row r="507" spans="2:13" x14ac:dyDescent="0.25">
      <c r="B507" s="27">
        <v>504</v>
      </c>
      <c r="C507" s="29">
        <v>28.83421254322349</v>
      </c>
      <c r="D507" s="29">
        <v>0</v>
      </c>
      <c r="E507" s="29">
        <v>0</v>
      </c>
      <c r="F507" s="29">
        <v>38.902077544774279</v>
      </c>
      <c r="G507" s="29">
        <v>0</v>
      </c>
      <c r="H507" s="29">
        <v>0</v>
      </c>
      <c r="I507" s="29">
        <v>0</v>
      </c>
      <c r="J507" s="29">
        <v>0</v>
      </c>
      <c r="K507" s="29">
        <v>51.56849899968752</v>
      </c>
      <c r="L507" s="30">
        <v>0</v>
      </c>
      <c r="M507" s="30">
        <v>0</v>
      </c>
    </row>
    <row r="508" spans="2:13" x14ac:dyDescent="0.25">
      <c r="B508" s="27">
        <v>505</v>
      </c>
      <c r="C508" s="29">
        <v>44.106386734614148</v>
      </c>
      <c r="D508" s="29">
        <v>86.173449121289096</v>
      </c>
      <c r="E508" s="29">
        <v>106.13313623363572</v>
      </c>
      <c r="F508" s="29">
        <v>34.881206062910437</v>
      </c>
      <c r="G508" s="29">
        <v>41.447987701730483</v>
      </c>
      <c r="H508" s="29">
        <v>0</v>
      </c>
      <c r="I508" s="29">
        <v>0</v>
      </c>
      <c r="J508" s="29">
        <v>47.790808964828116</v>
      </c>
      <c r="K508" s="29">
        <v>0</v>
      </c>
      <c r="L508" s="30">
        <v>0</v>
      </c>
      <c r="M508" s="30">
        <v>0</v>
      </c>
    </row>
    <row r="509" spans="2:13" x14ac:dyDescent="0.25">
      <c r="B509" s="27">
        <v>506</v>
      </c>
      <c r="C509" s="29">
        <v>60.081677953331919</v>
      </c>
      <c r="D509" s="29">
        <v>71.292314956325782</v>
      </c>
      <c r="E509" s="29">
        <v>78.578524196405382</v>
      </c>
      <c r="F509" s="29">
        <v>52.66516900719035</v>
      </c>
      <c r="G509" s="29">
        <v>49.033414609661627</v>
      </c>
      <c r="H509" s="29">
        <v>0</v>
      </c>
      <c r="I509" s="29">
        <v>48.46778213384723</v>
      </c>
      <c r="J509" s="29">
        <v>0</v>
      </c>
      <c r="K509" s="29">
        <v>45.985535270614648</v>
      </c>
      <c r="L509" s="30">
        <v>0</v>
      </c>
      <c r="M509" s="30">
        <v>0</v>
      </c>
    </row>
    <row r="510" spans="2:13" x14ac:dyDescent="0.25">
      <c r="B510" s="27">
        <v>507</v>
      </c>
      <c r="C510" s="29">
        <v>30.149982849513492</v>
      </c>
      <c r="D510" s="29">
        <v>69.455179129466813</v>
      </c>
      <c r="E510" s="29">
        <v>0</v>
      </c>
      <c r="F510" s="29">
        <v>50.022065921467401</v>
      </c>
      <c r="G510" s="29">
        <v>0</v>
      </c>
      <c r="H510" s="29">
        <v>0</v>
      </c>
      <c r="I510" s="29">
        <v>0</v>
      </c>
      <c r="J510" s="29">
        <v>0</v>
      </c>
      <c r="K510" s="29">
        <v>0</v>
      </c>
      <c r="L510" s="30">
        <v>0</v>
      </c>
      <c r="M510" s="30">
        <v>0</v>
      </c>
    </row>
    <row r="511" spans="2:13" x14ac:dyDescent="0.25">
      <c r="B511" s="27">
        <v>508</v>
      </c>
      <c r="C511" s="29">
        <v>38.386761388194572</v>
      </c>
      <c r="D511" s="29">
        <v>73.348316213514593</v>
      </c>
      <c r="E511" s="29">
        <v>0</v>
      </c>
      <c r="F511" s="29">
        <v>34.807547669220895</v>
      </c>
      <c r="G511" s="29">
        <v>0</v>
      </c>
      <c r="H511" s="29">
        <v>0</v>
      </c>
      <c r="I511" s="29">
        <v>60.172265638776317</v>
      </c>
      <c r="J511" s="29">
        <v>0</v>
      </c>
      <c r="K511" s="29">
        <v>30.217742896414606</v>
      </c>
      <c r="L511" s="30">
        <v>0</v>
      </c>
      <c r="M511" s="30">
        <v>0</v>
      </c>
    </row>
    <row r="512" spans="2:13" x14ac:dyDescent="0.25">
      <c r="B512" s="27">
        <v>509</v>
      </c>
      <c r="C512" s="29">
        <v>46.345046317896688</v>
      </c>
      <c r="D512" s="29">
        <v>64.141964863755391</v>
      </c>
      <c r="E512" s="29">
        <v>0</v>
      </c>
      <c r="F512" s="29">
        <v>0</v>
      </c>
      <c r="G512" s="29">
        <v>0</v>
      </c>
      <c r="H512" s="29">
        <v>0</v>
      </c>
      <c r="I512" s="29">
        <v>39.259172514729784</v>
      </c>
      <c r="J512" s="29">
        <v>0</v>
      </c>
      <c r="K512" s="29">
        <v>39.051210165063111</v>
      </c>
      <c r="L512" s="30">
        <v>0</v>
      </c>
      <c r="M512" s="30">
        <v>0</v>
      </c>
    </row>
    <row r="513" spans="2:13" x14ac:dyDescent="0.25">
      <c r="B513" s="27">
        <v>510</v>
      </c>
      <c r="C513" s="29">
        <v>37.605245296284266</v>
      </c>
      <c r="D513" s="29">
        <v>78.476615717891619</v>
      </c>
      <c r="E513" s="29">
        <v>110.56637892985587</v>
      </c>
      <c r="F513" s="29">
        <v>0</v>
      </c>
      <c r="G513" s="29">
        <v>0</v>
      </c>
      <c r="H513" s="29">
        <v>55.299794392659749</v>
      </c>
      <c r="I513" s="29">
        <v>0</v>
      </c>
      <c r="J513" s="29">
        <v>0</v>
      </c>
      <c r="K513" s="29">
        <v>36.572148235406615</v>
      </c>
      <c r="L513" s="30">
        <v>0</v>
      </c>
      <c r="M513" s="30">
        <v>0</v>
      </c>
    </row>
    <row r="514" spans="2:13" x14ac:dyDescent="0.25">
      <c r="B514" s="27">
        <v>511</v>
      </c>
      <c r="C514" s="29">
        <v>44.903420013964634</v>
      </c>
      <c r="D514" s="29">
        <v>84.193591809166364</v>
      </c>
      <c r="E514" s="29">
        <v>91.816230338190024</v>
      </c>
      <c r="F514" s="29">
        <v>26.826420026133917</v>
      </c>
      <c r="G514" s="29">
        <v>0</v>
      </c>
      <c r="H514" s="29">
        <v>63.557511751856936</v>
      </c>
      <c r="I514" s="29">
        <v>0</v>
      </c>
      <c r="J514" s="29">
        <v>0</v>
      </c>
      <c r="K514" s="29">
        <v>32.924508911734719</v>
      </c>
      <c r="L514" s="30">
        <v>0</v>
      </c>
      <c r="M514" s="30">
        <v>0</v>
      </c>
    </row>
    <row r="515" spans="2:13" x14ac:dyDescent="0.25">
      <c r="B515" s="27">
        <v>512</v>
      </c>
      <c r="C515" s="29">
        <v>28.570508214554344</v>
      </c>
      <c r="D515" s="29">
        <v>81.446633880456858</v>
      </c>
      <c r="E515" s="29">
        <v>0</v>
      </c>
      <c r="F515" s="29">
        <v>58.573927330192767</v>
      </c>
      <c r="G515" s="29">
        <v>0</v>
      </c>
      <c r="H515" s="29">
        <v>0</v>
      </c>
      <c r="I515" s="29">
        <v>0</v>
      </c>
      <c r="J515" s="29">
        <v>0</v>
      </c>
      <c r="K515" s="29">
        <v>28.193061864202122</v>
      </c>
      <c r="L515" s="30">
        <v>0</v>
      </c>
      <c r="M515" s="30">
        <v>0</v>
      </c>
    </row>
    <row r="516" spans="2:13" x14ac:dyDescent="0.25">
      <c r="B516" s="27">
        <v>513</v>
      </c>
      <c r="C516" s="29">
        <v>39.32991790585028</v>
      </c>
      <c r="D516" s="29">
        <v>76.959353801932807</v>
      </c>
      <c r="E516" s="29">
        <v>95.242106577904281</v>
      </c>
      <c r="F516" s="29">
        <v>0</v>
      </c>
      <c r="G516" s="29">
        <v>0</v>
      </c>
      <c r="H516" s="29">
        <v>48.500689795630777</v>
      </c>
      <c r="I516" s="29">
        <v>0</v>
      </c>
      <c r="J516" s="29">
        <v>0</v>
      </c>
      <c r="K516" s="29">
        <v>46.136404895730301</v>
      </c>
      <c r="L516" s="30">
        <v>0</v>
      </c>
      <c r="M516" s="30">
        <v>0</v>
      </c>
    </row>
    <row r="517" spans="2:13" x14ac:dyDescent="0.25">
      <c r="B517" s="27">
        <v>514</v>
      </c>
      <c r="C517" s="29">
        <v>36.129275385887922</v>
      </c>
      <c r="D517" s="29">
        <v>75.623059434603675</v>
      </c>
      <c r="E517" s="29">
        <v>0</v>
      </c>
      <c r="F517" s="29">
        <v>50.153003058637907</v>
      </c>
      <c r="G517" s="29">
        <v>0</v>
      </c>
      <c r="H517" s="29">
        <v>0</v>
      </c>
      <c r="I517" s="29">
        <v>0</v>
      </c>
      <c r="J517" s="29">
        <v>0</v>
      </c>
      <c r="K517" s="29">
        <v>47.807558896864691</v>
      </c>
      <c r="L517" s="30">
        <v>0</v>
      </c>
      <c r="M517" s="30">
        <v>0</v>
      </c>
    </row>
    <row r="518" spans="2:13" x14ac:dyDescent="0.25">
      <c r="B518" s="27">
        <v>515</v>
      </c>
      <c r="C518" s="29">
        <v>21.432322393060261</v>
      </c>
      <c r="D518" s="29">
        <v>81.908138075050061</v>
      </c>
      <c r="E518" s="29">
        <v>89.121787536123264</v>
      </c>
      <c r="F518" s="29">
        <v>45.101445746764334</v>
      </c>
      <c r="G518" s="29">
        <v>0</v>
      </c>
      <c r="H518" s="29">
        <v>0</v>
      </c>
      <c r="I518" s="29">
        <v>0</v>
      </c>
      <c r="J518" s="29">
        <v>0</v>
      </c>
      <c r="K518" s="29">
        <v>45.102136466307726</v>
      </c>
      <c r="L518" s="30">
        <v>44.11406533597382</v>
      </c>
      <c r="M518" s="30">
        <v>0</v>
      </c>
    </row>
    <row r="519" spans="2:13" x14ac:dyDescent="0.25">
      <c r="B519" s="27">
        <v>516</v>
      </c>
      <c r="C519" s="29">
        <v>54.547983143856179</v>
      </c>
      <c r="D519" s="29">
        <v>82.988567918054386</v>
      </c>
      <c r="E519" s="29">
        <v>108.52967077052338</v>
      </c>
      <c r="F519" s="29">
        <v>44.722933488460129</v>
      </c>
      <c r="G519" s="29">
        <v>0</v>
      </c>
      <c r="H519" s="29">
        <v>0</v>
      </c>
      <c r="I519" s="29">
        <v>0</v>
      </c>
      <c r="J519" s="29">
        <v>0</v>
      </c>
      <c r="K519" s="29">
        <v>45.278072718273123</v>
      </c>
      <c r="L519" s="30">
        <v>0</v>
      </c>
      <c r="M519" s="30">
        <v>0</v>
      </c>
    </row>
    <row r="520" spans="2:13" x14ac:dyDescent="0.25">
      <c r="B520" s="27">
        <v>517</v>
      </c>
      <c r="C520" s="29">
        <v>49.703973015665987</v>
      </c>
      <c r="D520" s="29">
        <v>68.590960619540027</v>
      </c>
      <c r="E520" s="29">
        <v>86.678288252632029</v>
      </c>
      <c r="F520" s="29">
        <v>54.683260725450602</v>
      </c>
      <c r="G520" s="29">
        <v>32.920380057956585</v>
      </c>
      <c r="H520" s="29">
        <v>0</v>
      </c>
      <c r="I520" s="29">
        <v>28.759549261708116</v>
      </c>
      <c r="J520" s="29">
        <v>0</v>
      </c>
      <c r="K520" s="29">
        <v>55.805212788469305</v>
      </c>
      <c r="L520" s="30">
        <v>0</v>
      </c>
      <c r="M520" s="30">
        <v>0</v>
      </c>
    </row>
    <row r="521" spans="2:13" x14ac:dyDescent="0.25">
      <c r="B521" s="27">
        <v>518</v>
      </c>
      <c r="C521" s="29">
        <v>45.728785003669266</v>
      </c>
      <c r="D521" s="29">
        <v>91.485252528868244</v>
      </c>
      <c r="E521" s="29">
        <v>73.460491744544925</v>
      </c>
      <c r="F521" s="29">
        <v>47.487863008348249</v>
      </c>
      <c r="G521" s="29">
        <v>0</v>
      </c>
      <c r="H521" s="29">
        <v>0</v>
      </c>
      <c r="I521" s="29">
        <v>64.563688339987522</v>
      </c>
      <c r="J521" s="29">
        <v>0</v>
      </c>
      <c r="K521" s="29">
        <v>50.252064261265076</v>
      </c>
      <c r="L521" s="30">
        <v>0</v>
      </c>
      <c r="M521" s="30">
        <v>0</v>
      </c>
    </row>
    <row r="522" spans="2:13" x14ac:dyDescent="0.25">
      <c r="B522" s="27">
        <v>519</v>
      </c>
      <c r="C522" s="29">
        <v>45.420241642728008</v>
      </c>
      <c r="D522" s="29">
        <v>70.501689294291225</v>
      </c>
      <c r="E522" s="29">
        <v>143.61946327900333</v>
      </c>
      <c r="F522" s="29">
        <v>15.215981446294965</v>
      </c>
      <c r="G522" s="29">
        <v>0</v>
      </c>
      <c r="H522" s="29">
        <v>0</v>
      </c>
      <c r="I522" s="29">
        <v>19.585280189402475</v>
      </c>
      <c r="J522" s="29">
        <v>16.783479819392689</v>
      </c>
      <c r="K522" s="29">
        <v>35.37845059497846</v>
      </c>
      <c r="L522" s="30">
        <v>0</v>
      </c>
      <c r="M522" s="30">
        <v>0</v>
      </c>
    </row>
    <row r="523" spans="2:13" x14ac:dyDescent="0.25">
      <c r="B523" s="27">
        <v>520</v>
      </c>
      <c r="C523" s="29">
        <v>17.060584667371508</v>
      </c>
      <c r="D523" s="29">
        <v>63.680704581160342</v>
      </c>
      <c r="E523" s="29">
        <v>0</v>
      </c>
      <c r="F523" s="29">
        <v>34.377950818640244</v>
      </c>
      <c r="G523" s="29">
        <v>0</v>
      </c>
      <c r="H523" s="29">
        <v>0</v>
      </c>
      <c r="I523" s="29">
        <v>0</v>
      </c>
      <c r="J523" s="29">
        <v>0</v>
      </c>
      <c r="K523" s="29">
        <v>0</v>
      </c>
      <c r="L523" s="30">
        <v>0</v>
      </c>
      <c r="M523" s="30">
        <v>0</v>
      </c>
    </row>
    <row r="524" spans="2:13" x14ac:dyDescent="0.25">
      <c r="B524" s="27">
        <v>521</v>
      </c>
      <c r="C524" s="29">
        <v>29.510778245757859</v>
      </c>
      <c r="D524" s="29">
        <v>62.643211056374042</v>
      </c>
      <c r="E524" s="29">
        <v>102.27597215459392</v>
      </c>
      <c r="F524" s="29">
        <v>43.233472065304888</v>
      </c>
      <c r="G524" s="29">
        <v>0</v>
      </c>
      <c r="H524" s="29">
        <v>0</v>
      </c>
      <c r="I524" s="29">
        <v>46.057419002492239</v>
      </c>
      <c r="J524" s="29">
        <v>0</v>
      </c>
      <c r="K524" s="29">
        <v>26.576893203000733</v>
      </c>
      <c r="L524" s="30">
        <v>0</v>
      </c>
      <c r="M524" s="30">
        <v>0</v>
      </c>
    </row>
    <row r="525" spans="2:13" x14ac:dyDescent="0.25">
      <c r="B525" s="27">
        <v>522</v>
      </c>
      <c r="C525" s="29">
        <v>60.254402844714889</v>
      </c>
      <c r="D525" s="29">
        <v>77.520132549746393</v>
      </c>
      <c r="E525" s="29">
        <v>93.965157212763586</v>
      </c>
      <c r="F525" s="29">
        <v>55.094191102543839</v>
      </c>
      <c r="G525" s="29">
        <v>0</v>
      </c>
      <c r="H525" s="29">
        <v>40.542767519702515</v>
      </c>
      <c r="I525" s="29">
        <v>0</v>
      </c>
      <c r="J525" s="29">
        <v>0</v>
      </c>
      <c r="K525" s="29">
        <v>42.175308754304751</v>
      </c>
      <c r="L525" s="30">
        <v>0</v>
      </c>
      <c r="M525" s="30">
        <v>0</v>
      </c>
    </row>
    <row r="526" spans="2:13" x14ac:dyDescent="0.25">
      <c r="B526" s="27">
        <v>523</v>
      </c>
      <c r="C526" s="29">
        <v>34.734037538449982</v>
      </c>
      <c r="D526" s="29">
        <v>79.324635962562638</v>
      </c>
      <c r="E526" s="29">
        <v>75.84371940266999</v>
      </c>
      <c r="F526" s="29">
        <v>0</v>
      </c>
      <c r="G526" s="29">
        <v>0</v>
      </c>
      <c r="H526" s="29">
        <v>46.729594015192077</v>
      </c>
      <c r="I526" s="29">
        <v>43.755604258372088</v>
      </c>
      <c r="J526" s="29">
        <v>0</v>
      </c>
      <c r="K526" s="29">
        <v>0</v>
      </c>
      <c r="L526" s="30">
        <v>0</v>
      </c>
      <c r="M526" s="30">
        <v>0</v>
      </c>
    </row>
    <row r="527" spans="2:13" x14ac:dyDescent="0.25">
      <c r="B527" s="27">
        <v>524</v>
      </c>
      <c r="C527" s="29">
        <v>48.782817809366193</v>
      </c>
      <c r="D527" s="29">
        <v>73.420915377563318</v>
      </c>
      <c r="E527" s="29">
        <v>107.0202004903695</v>
      </c>
      <c r="F527" s="29">
        <v>0</v>
      </c>
      <c r="G527" s="29">
        <v>0</v>
      </c>
      <c r="H527" s="29">
        <v>0</v>
      </c>
      <c r="I527" s="29">
        <v>44.595546580759631</v>
      </c>
      <c r="J527" s="29">
        <v>0</v>
      </c>
      <c r="K527" s="29">
        <v>0</v>
      </c>
      <c r="L527" s="30">
        <v>0</v>
      </c>
      <c r="M527" s="30">
        <v>0</v>
      </c>
    </row>
    <row r="528" spans="2:13" x14ac:dyDescent="0.25">
      <c r="B528" s="27">
        <v>525</v>
      </c>
      <c r="C528" s="29">
        <v>47.205684743783017</v>
      </c>
      <c r="D528" s="29">
        <v>91.340444576709032</v>
      </c>
      <c r="E528" s="29">
        <v>0</v>
      </c>
      <c r="F528" s="29">
        <v>40.561190618237646</v>
      </c>
      <c r="G528" s="29">
        <v>0</v>
      </c>
      <c r="H528" s="29">
        <v>0</v>
      </c>
      <c r="I528" s="29">
        <v>0</v>
      </c>
      <c r="J528" s="29">
        <v>0</v>
      </c>
      <c r="K528" s="29">
        <v>30.879676499936501</v>
      </c>
      <c r="L528" s="30">
        <v>0</v>
      </c>
      <c r="M528" s="30">
        <v>0</v>
      </c>
    </row>
    <row r="529" spans="2:13" x14ac:dyDescent="0.25">
      <c r="B529" s="27">
        <v>526</v>
      </c>
      <c r="C529" s="29">
        <v>61.562017694345933</v>
      </c>
      <c r="D529" s="29">
        <v>90.087718604592695</v>
      </c>
      <c r="E529" s="29">
        <v>0</v>
      </c>
      <c r="F529" s="29">
        <v>64.000714781895368</v>
      </c>
      <c r="G529" s="29">
        <v>0</v>
      </c>
      <c r="H529" s="29">
        <v>0</v>
      </c>
      <c r="I529" s="29">
        <v>49.677997982887028</v>
      </c>
      <c r="J529" s="29">
        <v>59.321069063089361</v>
      </c>
      <c r="K529" s="29">
        <v>44.945225301834931</v>
      </c>
      <c r="L529" s="30">
        <v>0</v>
      </c>
      <c r="M529" s="30">
        <v>0</v>
      </c>
    </row>
    <row r="530" spans="2:13" x14ac:dyDescent="0.25">
      <c r="B530" s="27">
        <v>527</v>
      </c>
      <c r="C530" s="29">
        <v>31.093519678060836</v>
      </c>
      <c r="D530" s="29">
        <v>73.40273731470927</v>
      </c>
      <c r="E530" s="29">
        <v>95.758343377705827</v>
      </c>
      <c r="F530" s="29">
        <v>0</v>
      </c>
      <c r="G530" s="29">
        <v>0</v>
      </c>
      <c r="H530" s="29">
        <v>0</v>
      </c>
      <c r="I530" s="29">
        <v>31.196333528251959</v>
      </c>
      <c r="J530" s="29">
        <v>57.693203956289175</v>
      </c>
      <c r="K530" s="29">
        <v>52.866421914529077</v>
      </c>
      <c r="L530" s="30">
        <v>0</v>
      </c>
      <c r="M530" s="30">
        <v>0</v>
      </c>
    </row>
    <row r="531" spans="2:13" x14ac:dyDescent="0.25">
      <c r="B531" s="27">
        <v>528</v>
      </c>
      <c r="C531" s="29">
        <v>23.140608735304731</v>
      </c>
      <c r="D531" s="29">
        <v>0</v>
      </c>
      <c r="E531" s="29">
        <v>0</v>
      </c>
      <c r="F531" s="29">
        <v>0</v>
      </c>
      <c r="G531" s="29">
        <v>37.824299748788555</v>
      </c>
      <c r="H531" s="29">
        <v>0</v>
      </c>
      <c r="I531" s="29">
        <v>0</v>
      </c>
      <c r="J531" s="29">
        <v>0</v>
      </c>
      <c r="K531" s="29">
        <v>0</v>
      </c>
      <c r="L531" s="30">
        <v>0</v>
      </c>
      <c r="M531" s="30">
        <v>0</v>
      </c>
    </row>
    <row r="532" spans="2:13" x14ac:dyDescent="0.25">
      <c r="B532" s="27">
        <v>529</v>
      </c>
      <c r="C532" s="29">
        <v>28.455037528301666</v>
      </c>
      <c r="D532" s="29">
        <v>93.752342108299089</v>
      </c>
      <c r="E532" s="29">
        <v>125.07493911515773</v>
      </c>
      <c r="F532" s="29">
        <v>53.301235343475291</v>
      </c>
      <c r="G532" s="29">
        <v>0</v>
      </c>
      <c r="H532" s="29">
        <v>61.00805173973685</v>
      </c>
      <c r="I532" s="29">
        <v>0</v>
      </c>
      <c r="J532" s="29">
        <v>0</v>
      </c>
      <c r="K532" s="29">
        <v>57.609688634111038</v>
      </c>
      <c r="L532" s="30">
        <v>0</v>
      </c>
      <c r="M532" s="30">
        <v>0</v>
      </c>
    </row>
    <row r="533" spans="2:13" x14ac:dyDescent="0.25">
      <c r="B533" s="27">
        <v>530</v>
      </c>
      <c r="C533" s="29">
        <v>24.095502377417645</v>
      </c>
      <c r="D533" s="29">
        <v>60.632889173392456</v>
      </c>
      <c r="E533" s="29">
        <v>83.359375285476986</v>
      </c>
      <c r="F533" s="29">
        <v>48.143048266490787</v>
      </c>
      <c r="G533" s="29">
        <v>0</v>
      </c>
      <c r="H533" s="29">
        <v>0</v>
      </c>
      <c r="I533" s="29">
        <v>64.903464905301689</v>
      </c>
      <c r="J533" s="29">
        <v>0</v>
      </c>
      <c r="K533" s="29">
        <v>58.618080316015671</v>
      </c>
      <c r="L533" s="30">
        <v>0</v>
      </c>
      <c r="M533" s="30">
        <v>0</v>
      </c>
    </row>
    <row r="534" spans="2:13" x14ac:dyDescent="0.25">
      <c r="B534" s="27">
        <v>531</v>
      </c>
      <c r="C534" s="29">
        <v>0</v>
      </c>
      <c r="D534" s="29">
        <v>79.552033573756944</v>
      </c>
      <c r="E534" s="29">
        <v>106.62974320531956</v>
      </c>
      <c r="F534" s="29">
        <v>41.087014321229759</v>
      </c>
      <c r="G534" s="29">
        <v>0</v>
      </c>
      <c r="H534" s="29">
        <v>18.944853612632169</v>
      </c>
      <c r="I534" s="29">
        <v>0</v>
      </c>
      <c r="J534" s="29">
        <v>0</v>
      </c>
      <c r="K534" s="29">
        <v>36.830147922454657</v>
      </c>
      <c r="L534" s="30">
        <v>0</v>
      </c>
      <c r="M534" s="30">
        <v>0</v>
      </c>
    </row>
    <row r="535" spans="2:13" x14ac:dyDescent="0.25">
      <c r="B535" s="27">
        <v>532</v>
      </c>
      <c r="C535" s="29">
        <v>22.914398447290584</v>
      </c>
      <c r="D535" s="29">
        <v>90.69331102502322</v>
      </c>
      <c r="E535" s="29">
        <v>82.424746286621186</v>
      </c>
      <c r="F535" s="29">
        <v>30.7642386750756</v>
      </c>
      <c r="G535" s="29">
        <v>0</v>
      </c>
      <c r="H535" s="29">
        <v>0</v>
      </c>
      <c r="I535" s="29">
        <v>0</v>
      </c>
      <c r="J535" s="29">
        <v>0</v>
      </c>
      <c r="K535" s="29">
        <v>0</v>
      </c>
      <c r="L535" s="30">
        <v>0</v>
      </c>
      <c r="M535" s="30">
        <v>0</v>
      </c>
    </row>
    <row r="536" spans="2:13" x14ac:dyDescent="0.25">
      <c r="B536" s="27">
        <v>533</v>
      </c>
      <c r="C536" s="29">
        <v>59.063363553835302</v>
      </c>
      <c r="D536" s="29">
        <v>89.02919188383899</v>
      </c>
      <c r="E536" s="29">
        <v>94.113734160308297</v>
      </c>
      <c r="F536" s="29">
        <v>17.494648985766858</v>
      </c>
      <c r="G536" s="29">
        <v>0</v>
      </c>
      <c r="H536" s="29">
        <v>0</v>
      </c>
      <c r="I536" s="29">
        <v>34.161233779495404</v>
      </c>
      <c r="J536" s="29">
        <v>0</v>
      </c>
      <c r="K536" s="29">
        <v>54.78862702215681</v>
      </c>
      <c r="L536" s="30">
        <v>0</v>
      </c>
      <c r="M536" s="30">
        <v>0</v>
      </c>
    </row>
    <row r="537" spans="2:13" x14ac:dyDescent="0.25">
      <c r="B537" s="27">
        <v>534</v>
      </c>
      <c r="C537" s="29">
        <v>27.842581552643704</v>
      </c>
      <c r="D537" s="29">
        <v>82.569779491919917</v>
      </c>
      <c r="E537" s="29">
        <v>83.710668599496685</v>
      </c>
      <c r="F537" s="29">
        <v>26.247394550392109</v>
      </c>
      <c r="G537" s="29">
        <v>0</v>
      </c>
      <c r="H537" s="29">
        <v>0</v>
      </c>
      <c r="I537" s="29">
        <v>0</v>
      </c>
      <c r="J537" s="29">
        <v>0</v>
      </c>
      <c r="K537" s="29">
        <v>43.937403576999337</v>
      </c>
      <c r="L537" s="30">
        <v>0</v>
      </c>
      <c r="M537" s="30">
        <v>0</v>
      </c>
    </row>
    <row r="538" spans="2:13" x14ac:dyDescent="0.25">
      <c r="B538" s="27">
        <v>535</v>
      </c>
      <c r="C538" s="29">
        <v>0</v>
      </c>
      <c r="D538" s="29">
        <v>79.471067459546532</v>
      </c>
      <c r="E538" s="29">
        <v>0</v>
      </c>
      <c r="F538" s="29">
        <v>0</v>
      </c>
      <c r="G538" s="29">
        <v>0</v>
      </c>
      <c r="H538" s="29">
        <v>60.654684434371106</v>
      </c>
      <c r="I538" s="29">
        <v>49.646169980348738</v>
      </c>
      <c r="J538" s="29">
        <v>45.246039979410519</v>
      </c>
      <c r="K538" s="29">
        <v>52.054610212974232</v>
      </c>
      <c r="L538" s="30">
        <v>0</v>
      </c>
      <c r="M538" s="30">
        <v>0</v>
      </c>
    </row>
    <row r="539" spans="2:13" x14ac:dyDescent="0.25">
      <c r="B539" s="27">
        <v>536</v>
      </c>
      <c r="C539" s="29">
        <v>32.949075683458872</v>
      </c>
      <c r="D539" s="29">
        <v>83.947186338534664</v>
      </c>
      <c r="E539" s="29">
        <v>132.00171070456264</v>
      </c>
      <c r="F539" s="29">
        <v>41.153045483241094</v>
      </c>
      <c r="G539" s="29">
        <v>0</v>
      </c>
      <c r="H539" s="29">
        <v>30.933993628172804</v>
      </c>
      <c r="I539" s="29">
        <v>50.696715763734673</v>
      </c>
      <c r="J539" s="29">
        <v>51.838442932538129</v>
      </c>
      <c r="K539" s="29">
        <v>53.878916345561329</v>
      </c>
      <c r="L539" s="30">
        <v>0</v>
      </c>
      <c r="M539" s="30">
        <v>0</v>
      </c>
    </row>
    <row r="540" spans="2:13" x14ac:dyDescent="0.25">
      <c r="B540" s="27">
        <v>537</v>
      </c>
      <c r="C540" s="29">
        <v>61.065064198907258</v>
      </c>
      <c r="D540" s="29">
        <v>66.390228889686426</v>
      </c>
      <c r="E540" s="29">
        <v>75.938189829274052</v>
      </c>
      <c r="F540" s="29">
        <v>0</v>
      </c>
      <c r="G540" s="29">
        <v>0</v>
      </c>
      <c r="H540" s="29">
        <v>51.883656474954833</v>
      </c>
      <c r="I540" s="29">
        <v>52.611634256101155</v>
      </c>
      <c r="J540" s="29">
        <v>0</v>
      </c>
      <c r="K540" s="29">
        <v>67.40760994576442</v>
      </c>
      <c r="L540" s="30">
        <v>0</v>
      </c>
      <c r="M540" s="30">
        <v>0</v>
      </c>
    </row>
    <row r="541" spans="2:13" x14ac:dyDescent="0.25">
      <c r="B541" s="27">
        <v>538</v>
      </c>
      <c r="C541" s="29">
        <v>47.29590581837428</v>
      </c>
      <c r="D541" s="29">
        <v>63.566106761449632</v>
      </c>
      <c r="E541" s="29">
        <v>116.30439569197665</v>
      </c>
      <c r="F541" s="29">
        <v>32.780108457490023</v>
      </c>
      <c r="G541" s="29">
        <v>26.255775498540963</v>
      </c>
      <c r="H541" s="29">
        <v>52.569267877592807</v>
      </c>
      <c r="I541" s="29">
        <v>0</v>
      </c>
      <c r="J541" s="29">
        <v>0</v>
      </c>
      <c r="K541" s="29">
        <v>29.79369811343318</v>
      </c>
      <c r="L541" s="30">
        <v>0</v>
      </c>
      <c r="M541" s="30">
        <v>0</v>
      </c>
    </row>
    <row r="542" spans="2:13" x14ac:dyDescent="0.25">
      <c r="B542" s="27">
        <v>539</v>
      </c>
      <c r="C542" s="29">
        <v>36.400032012314526</v>
      </c>
      <c r="D542" s="29">
        <v>79.436558019705728</v>
      </c>
      <c r="E542" s="29">
        <v>0</v>
      </c>
      <c r="F542" s="29">
        <v>59.48456468356072</v>
      </c>
      <c r="G542" s="29">
        <v>0</v>
      </c>
      <c r="H542" s="29">
        <v>0</v>
      </c>
      <c r="I542" s="29">
        <v>54.016650079764396</v>
      </c>
      <c r="J542" s="29">
        <v>39.941369705654466</v>
      </c>
      <c r="K542" s="29">
        <v>54.32375014457778</v>
      </c>
      <c r="L542" s="30">
        <v>0</v>
      </c>
      <c r="M542" s="30">
        <v>0</v>
      </c>
    </row>
    <row r="543" spans="2:13" x14ac:dyDescent="0.25">
      <c r="B543" s="27">
        <v>540</v>
      </c>
      <c r="C543" s="29">
        <v>31.831502908511499</v>
      </c>
      <c r="D543" s="29">
        <v>0</v>
      </c>
      <c r="E543" s="29">
        <v>119.33604193214506</v>
      </c>
      <c r="F543" s="29">
        <v>0</v>
      </c>
      <c r="G543" s="29">
        <v>0</v>
      </c>
      <c r="H543" s="29">
        <v>0</v>
      </c>
      <c r="I543" s="29">
        <v>0</v>
      </c>
      <c r="J543" s="29">
        <v>0</v>
      </c>
      <c r="K543" s="29">
        <v>0</v>
      </c>
      <c r="L543" s="30">
        <v>0</v>
      </c>
      <c r="M543" s="30">
        <v>0</v>
      </c>
    </row>
    <row r="544" spans="2:13" x14ac:dyDescent="0.25">
      <c r="B544" s="27">
        <v>541</v>
      </c>
      <c r="C544" s="29">
        <v>42.377344768548717</v>
      </c>
      <c r="D544" s="29">
        <v>72.211905915614111</v>
      </c>
      <c r="E544" s="29">
        <v>0</v>
      </c>
      <c r="F544" s="29">
        <v>52.951691473470468</v>
      </c>
      <c r="G544" s="29">
        <v>0</v>
      </c>
      <c r="H544" s="29">
        <v>0</v>
      </c>
      <c r="I544" s="29">
        <v>35.279445164833703</v>
      </c>
      <c r="J544" s="29">
        <v>0</v>
      </c>
      <c r="K544" s="29">
        <v>0</v>
      </c>
      <c r="L544" s="30">
        <v>0</v>
      </c>
      <c r="M544" s="30">
        <v>0</v>
      </c>
    </row>
    <row r="545" spans="2:13" x14ac:dyDescent="0.25">
      <c r="B545" s="27">
        <v>542</v>
      </c>
      <c r="C545" s="29">
        <v>28.175391928970406</v>
      </c>
      <c r="D545" s="29">
        <v>0</v>
      </c>
      <c r="E545" s="29">
        <v>79.602424302122429</v>
      </c>
      <c r="F545" s="29">
        <v>41.770619891220633</v>
      </c>
      <c r="G545" s="29">
        <v>0</v>
      </c>
      <c r="H545" s="29">
        <v>0</v>
      </c>
      <c r="I545" s="29">
        <v>50.380087880167935</v>
      </c>
      <c r="J545" s="29">
        <v>46.010668676894653</v>
      </c>
      <c r="K545" s="29">
        <v>50.406289484838297</v>
      </c>
      <c r="L545" s="30">
        <v>0</v>
      </c>
      <c r="M545" s="30">
        <v>0</v>
      </c>
    </row>
    <row r="546" spans="2:13" x14ac:dyDescent="0.25">
      <c r="B546" s="27">
        <v>543</v>
      </c>
      <c r="C546" s="29">
        <v>30.622336602478601</v>
      </c>
      <c r="D546" s="29">
        <v>0</v>
      </c>
      <c r="E546" s="29">
        <v>0</v>
      </c>
      <c r="F546" s="29">
        <v>27.636385836250536</v>
      </c>
      <c r="G546" s="29">
        <v>53.276558830082976</v>
      </c>
      <c r="H546" s="29">
        <v>47.253379865431093</v>
      </c>
      <c r="I546" s="29">
        <v>53.63978704568531</v>
      </c>
      <c r="J546" s="29">
        <v>0</v>
      </c>
      <c r="K546" s="29">
        <v>39.990314821555074</v>
      </c>
      <c r="L546" s="30">
        <v>0</v>
      </c>
      <c r="M546" s="30">
        <v>0</v>
      </c>
    </row>
    <row r="547" spans="2:13" x14ac:dyDescent="0.25">
      <c r="B547" s="27">
        <v>544</v>
      </c>
      <c r="C547" s="29">
        <v>51.667909695341415</v>
      </c>
      <c r="D547" s="29">
        <v>0</v>
      </c>
      <c r="E547" s="29">
        <v>103.2103731809415</v>
      </c>
      <c r="F547" s="29">
        <v>21.027670906651693</v>
      </c>
      <c r="G547" s="29">
        <v>0</v>
      </c>
      <c r="H547" s="29">
        <v>0</v>
      </c>
      <c r="I547" s="29">
        <v>0</v>
      </c>
      <c r="J547" s="29">
        <v>0</v>
      </c>
      <c r="K547" s="29">
        <v>49.120832640495216</v>
      </c>
      <c r="L547" s="30">
        <v>0</v>
      </c>
      <c r="M547" s="30">
        <v>0</v>
      </c>
    </row>
    <row r="548" spans="2:13" x14ac:dyDescent="0.25">
      <c r="B548" s="27">
        <v>545</v>
      </c>
      <c r="C548" s="29">
        <v>27.201154182257028</v>
      </c>
      <c r="D548" s="29">
        <v>0</v>
      </c>
      <c r="E548" s="29">
        <v>105.5526835712558</v>
      </c>
      <c r="F548" s="29">
        <v>57.503352876480186</v>
      </c>
      <c r="G548" s="29">
        <v>0</v>
      </c>
      <c r="H548" s="29">
        <v>0</v>
      </c>
      <c r="I548" s="29">
        <v>40.99705607898656</v>
      </c>
      <c r="J548" s="29">
        <v>58.767092581316334</v>
      </c>
      <c r="K548" s="29">
        <v>50.708705827685421</v>
      </c>
      <c r="L548" s="30">
        <v>0</v>
      </c>
      <c r="M548" s="30">
        <v>0</v>
      </c>
    </row>
    <row r="549" spans="2:13" x14ac:dyDescent="0.25">
      <c r="B549" s="27">
        <v>546</v>
      </c>
      <c r="C549" s="29">
        <v>45.322265904798485</v>
      </c>
      <c r="D549" s="29">
        <v>56.490208343847797</v>
      </c>
      <c r="E549" s="29">
        <v>95.445159825437344</v>
      </c>
      <c r="F549" s="29">
        <v>38.288457920781894</v>
      </c>
      <c r="G549" s="29">
        <v>0</v>
      </c>
      <c r="H549" s="29">
        <v>0</v>
      </c>
      <c r="I549" s="29">
        <v>0</v>
      </c>
      <c r="J549" s="29">
        <v>0</v>
      </c>
      <c r="K549" s="29">
        <v>60.785519886518607</v>
      </c>
      <c r="L549" s="30">
        <v>0</v>
      </c>
      <c r="M549" s="30">
        <v>0</v>
      </c>
    </row>
    <row r="550" spans="2:13" x14ac:dyDescent="0.25">
      <c r="B550" s="27">
        <v>547</v>
      </c>
      <c r="C550" s="29">
        <v>57.051656876913285</v>
      </c>
      <c r="D550" s="29">
        <v>78.905657690525402</v>
      </c>
      <c r="E550" s="29">
        <v>0</v>
      </c>
      <c r="F550" s="29">
        <v>44.862198003503558</v>
      </c>
      <c r="G550" s="29">
        <v>0</v>
      </c>
      <c r="H550" s="29">
        <v>0</v>
      </c>
      <c r="I550" s="29">
        <v>33.333535512499125</v>
      </c>
      <c r="J550" s="29">
        <v>55.716743102044944</v>
      </c>
      <c r="K550" s="29">
        <v>48.944934234752075</v>
      </c>
      <c r="L550" s="30">
        <v>0</v>
      </c>
      <c r="M550" s="30">
        <v>0</v>
      </c>
    </row>
    <row r="551" spans="2:13" x14ac:dyDescent="0.25">
      <c r="B551" s="27">
        <v>548</v>
      </c>
      <c r="C551" s="29">
        <v>29.590669758875922</v>
      </c>
      <c r="D551" s="29">
        <v>77.023974306330913</v>
      </c>
      <c r="E551" s="29">
        <v>103.50377813148782</v>
      </c>
      <c r="F551" s="29">
        <v>30.264492836495979</v>
      </c>
      <c r="G551" s="29">
        <v>0</v>
      </c>
      <c r="H551" s="29">
        <v>0</v>
      </c>
      <c r="I551" s="29">
        <v>37.780897688218872</v>
      </c>
      <c r="J551" s="29">
        <v>0</v>
      </c>
      <c r="K551" s="29">
        <v>54.655366493959278</v>
      </c>
      <c r="L551" s="30">
        <v>47.229093169571222</v>
      </c>
      <c r="M551" s="30">
        <v>0</v>
      </c>
    </row>
    <row r="552" spans="2:13" x14ac:dyDescent="0.25">
      <c r="B552" s="27">
        <v>549</v>
      </c>
      <c r="C552" s="29">
        <v>56.615829877159165</v>
      </c>
      <c r="D552" s="29">
        <v>69.875549560617316</v>
      </c>
      <c r="E552" s="29">
        <v>81.46406273402512</v>
      </c>
      <c r="F552" s="29">
        <v>49.166962222029817</v>
      </c>
      <c r="G552" s="29">
        <v>0</v>
      </c>
      <c r="H552" s="29">
        <v>0</v>
      </c>
      <c r="I552" s="29">
        <v>0</v>
      </c>
      <c r="J552" s="29">
        <v>64.286048668408256</v>
      </c>
      <c r="K552" s="29">
        <v>56.497083731154532</v>
      </c>
      <c r="L552" s="30">
        <v>0</v>
      </c>
      <c r="M552" s="30">
        <v>0</v>
      </c>
    </row>
    <row r="553" spans="2:13" x14ac:dyDescent="0.25">
      <c r="B553" s="27">
        <v>550</v>
      </c>
      <c r="C553" s="29">
        <v>42.467850109862553</v>
      </c>
      <c r="D553" s="29">
        <v>61.681324476419462</v>
      </c>
      <c r="E553" s="29">
        <v>89.219560312756656</v>
      </c>
      <c r="F553" s="29">
        <v>37.453380886955728</v>
      </c>
      <c r="G553" s="29">
        <v>0</v>
      </c>
      <c r="H553" s="29">
        <v>0</v>
      </c>
      <c r="I553" s="29">
        <v>0</v>
      </c>
      <c r="J553" s="29">
        <v>0</v>
      </c>
      <c r="K553" s="29">
        <v>47.882283385314338</v>
      </c>
      <c r="L553" s="30">
        <v>0</v>
      </c>
      <c r="M553" s="30">
        <v>0</v>
      </c>
    </row>
    <row r="554" spans="2:13" x14ac:dyDescent="0.25">
      <c r="B554" s="27">
        <v>551</v>
      </c>
      <c r="C554" s="29">
        <v>55.67383417720508</v>
      </c>
      <c r="D554" s="29">
        <v>63.274365784521592</v>
      </c>
      <c r="E554" s="29">
        <v>0</v>
      </c>
      <c r="F554" s="29">
        <v>39.452520584261194</v>
      </c>
      <c r="G554" s="29">
        <v>0</v>
      </c>
      <c r="H554" s="29">
        <v>0</v>
      </c>
      <c r="I554" s="29">
        <v>52.310112231648802</v>
      </c>
      <c r="J554" s="29">
        <v>33.664248572493555</v>
      </c>
      <c r="K554" s="29">
        <v>0</v>
      </c>
      <c r="L554" s="30">
        <v>0</v>
      </c>
      <c r="M554" s="30">
        <v>0</v>
      </c>
    </row>
    <row r="555" spans="2:13" x14ac:dyDescent="0.25">
      <c r="B555" s="27">
        <v>552</v>
      </c>
      <c r="C555" s="29">
        <v>0</v>
      </c>
      <c r="D555" s="29">
        <v>85.797252951528705</v>
      </c>
      <c r="E555" s="29">
        <v>68.028187265549192</v>
      </c>
      <c r="F555" s="29">
        <v>62.038504889374359</v>
      </c>
      <c r="G555" s="29">
        <v>0</v>
      </c>
      <c r="H555" s="29">
        <v>0</v>
      </c>
      <c r="I555" s="29">
        <v>0</v>
      </c>
      <c r="J555" s="29">
        <v>55.191875915457274</v>
      </c>
      <c r="K555" s="29">
        <v>33.725736540262318</v>
      </c>
      <c r="L555" s="30">
        <v>40.434702352624711</v>
      </c>
      <c r="M555" s="30">
        <v>0</v>
      </c>
    </row>
    <row r="556" spans="2:13" x14ac:dyDescent="0.25">
      <c r="B556" s="27">
        <v>553</v>
      </c>
      <c r="C556" s="29">
        <v>58.240920069831489</v>
      </c>
      <c r="D556" s="29">
        <v>94.572144816696493</v>
      </c>
      <c r="E556" s="29">
        <v>115.2471137825595</v>
      </c>
      <c r="F556" s="29">
        <v>52.620553078581217</v>
      </c>
      <c r="G556" s="29">
        <v>0</v>
      </c>
      <c r="H556" s="29">
        <v>0</v>
      </c>
      <c r="I556" s="29">
        <v>0</v>
      </c>
      <c r="J556" s="29">
        <v>0</v>
      </c>
      <c r="K556" s="29">
        <v>35.506963214151838</v>
      </c>
      <c r="L556" s="30">
        <v>0</v>
      </c>
      <c r="M556" s="30">
        <v>0</v>
      </c>
    </row>
    <row r="557" spans="2:13" x14ac:dyDescent="0.25">
      <c r="B557" s="27">
        <v>554</v>
      </c>
      <c r="C557" s="29">
        <v>44.033427583607441</v>
      </c>
      <c r="D557" s="29">
        <v>77.563905712228575</v>
      </c>
      <c r="E557" s="29">
        <v>111.2254227170219</v>
      </c>
      <c r="F557" s="29">
        <v>36.245958723627481</v>
      </c>
      <c r="G557" s="29">
        <v>0</v>
      </c>
      <c r="H557" s="29">
        <v>0</v>
      </c>
      <c r="I557" s="29">
        <v>0</v>
      </c>
      <c r="J557" s="29">
        <v>0</v>
      </c>
      <c r="K557" s="29">
        <v>44.003997382718048</v>
      </c>
      <c r="L557" s="30">
        <v>0</v>
      </c>
      <c r="M557" s="30">
        <v>0</v>
      </c>
    </row>
    <row r="558" spans="2:13" x14ac:dyDescent="0.25">
      <c r="B558" s="27">
        <v>555</v>
      </c>
      <c r="C558" s="29">
        <v>34.44287004523455</v>
      </c>
      <c r="D558" s="29">
        <v>57.834585222931047</v>
      </c>
      <c r="E558" s="29">
        <v>69.461647705691917</v>
      </c>
      <c r="F558" s="29">
        <v>57.105729756374672</v>
      </c>
      <c r="G558" s="29">
        <v>0</v>
      </c>
      <c r="H558" s="29">
        <v>64.961270159171363</v>
      </c>
      <c r="I558" s="29">
        <v>19.068406593212867</v>
      </c>
      <c r="J558" s="29">
        <v>0</v>
      </c>
      <c r="K558" s="29">
        <v>56.169383514722462</v>
      </c>
      <c r="L558" s="30">
        <v>0</v>
      </c>
      <c r="M558" s="30">
        <v>0</v>
      </c>
    </row>
    <row r="559" spans="2:13" x14ac:dyDescent="0.25">
      <c r="B559" s="27">
        <v>556</v>
      </c>
      <c r="C559" s="29">
        <v>65.084515728747405</v>
      </c>
      <c r="D559" s="29">
        <v>60.713349704911614</v>
      </c>
      <c r="E559" s="29">
        <v>0</v>
      </c>
      <c r="F559" s="29">
        <v>36.173649232111728</v>
      </c>
      <c r="G559" s="29">
        <v>0</v>
      </c>
      <c r="H559" s="29">
        <v>0</v>
      </c>
      <c r="I559" s="29">
        <v>0</v>
      </c>
      <c r="J559" s="29">
        <v>0</v>
      </c>
      <c r="K559" s="29">
        <v>26.087542962131298</v>
      </c>
      <c r="L559" s="30">
        <v>0</v>
      </c>
      <c r="M559" s="30">
        <v>0</v>
      </c>
    </row>
    <row r="560" spans="2:13" x14ac:dyDescent="0.25">
      <c r="B560" s="27">
        <v>557</v>
      </c>
      <c r="C560" s="29">
        <v>63.287041873224375</v>
      </c>
      <c r="D560" s="29">
        <v>87.544108567114222</v>
      </c>
      <c r="E560" s="29">
        <v>0</v>
      </c>
      <c r="F560" s="29">
        <v>54.804374996659881</v>
      </c>
      <c r="G560" s="29">
        <v>0</v>
      </c>
      <c r="H560" s="29">
        <v>0</v>
      </c>
      <c r="I560" s="29">
        <v>0</v>
      </c>
      <c r="J560" s="29">
        <v>46.206621373391307</v>
      </c>
      <c r="K560" s="29">
        <v>50.191616442359447</v>
      </c>
      <c r="L560" s="30">
        <v>0</v>
      </c>
      <c r="M560" s="30">
        <v>0</v>
      </c>
    </row>
    <row r="561" spans="2:13" x14ac:dyDescent="0.25">
      <c r="B561" s="27">
        <v>558</v>
      </c>
      <c r="C561" s="29">
        <v>45.035274533881918</v>
      </c>
      <c r="D561" s="29">
        <v>83.675835277535441</v>
      </c>
      <c r="E561" s="29">
        <v>92.444488316730286</v>
      </c>
      <c r="F561" s="29">
        <v>57.167730406853451</v>
      </c>
      <c r="G561" s="29">
        <v>0</v>
      </c>
      <c r="H561" s="29">
        <v>53.84969069602468</v>
      </c>
      <c r="I561" s="29">
        <v>0</v>
      </c>
      <c r="J561" s="29">
        <v>0</v>
      </c>
      <c r="K561" s="29">
        <v>58.045503549642824</v>
      </c>
      <c r="L561" s="30">
        <v>0</v>
      </c>
      <c r="M561" s="30">
        <v>0</v>
      </c>
    </row>
    <row r="562" spans="2:13" x14ac:dyDescent="0.25">
      <c r="B562" s="27">
        <v>559</v>
      </c>
      <c r="C562" s="29">
        <v>57.369543600642778</v>
      </c>
      <c r="D562" s="29">
        <v>55.984183736991795</v>
      </c>
      <c r="E562" s="29">
        <v>124.70718790815582</v>
      </c>
      <c r="F562" s="29">
        <v>0</v>
      </c>
      <c r="G562" s="29">
        <v>0</v>
      </c>
      <c r="H562" s="29">
        <v>61.036220826703854</v>
      </c>
      <c r="I562" s="29">
        <v>0</v>
      </c>
      <c r="J562" s="29">
        <v>0</v>
      </c>
      <c r="K562" s="29">
        <v>0</v>
      </c>
      <c r="L562" s="30">
        <v>0</v>
      </c>
      <c r="M562" s="30">
        <v>0</v>
      </c>
    </row>
    <row r="563" spans="2:13" x14ac:dyDescent="0.25">
      <c r="B563" s="27">
        <v>560</v>
      </c>
      <c r="C563" s="29">
        <v>42.057044951915472</v>
      </c>
      <c r="D563" s="29">
        <v>0</v>
      </c>
      <c r="E563" s="29">
        <v>100.43417293457424</v>
      </c>
      <c r="F563" s="29">
        <v>46.765681746970635</v>
      </c>
      <c r="G563" s="29">
        <v>0</v>
      </c>
      <c r="H563" s="29">
        <v>0</v>
      </c>
      <c r="I563" s="29">
        <v>55.363212589456076</v>
      </c>
      <c r="J563" s="29">
        <v>0</v>
      </c>
      <c r="K563" s="29">
        <v>49.26654455435731</v>
      </c>
      <c r="L563" s="30">
        <v>0</v>
      </c>
      <c r="M563" s="30">
        <v>0</v>
      </c>
    </row>
    <row r="564" spans="2:13" x14ac:dyDescent="0.25">
      <c r="B564" s="27">
        <v>561</v>
      </c>
      <c r="C564" s="29">
        <v>0</v>
      </c>
      <c r="D564" s="29">
        <v>71.568586331735474</v>
      </c>
      <c r="E564" s="29">
        <v>98.890923673469516</v>
      </c>
      <c r="F564" s="29">
        <v>64.021692319039332</v>
      </c>
      <c r="G564" s="29">
        <v>0</v>
      </c>
      <c r="H564" s="29">
        <v>0</v>
      </c>
      <c r="I564" s="29">
        <v>32.020426732026344</v>
      </c>
      <c r="J564" s="29">
        <v>0</v>
      </c>
      <c r="K564" s="29">
        <v>0</v>
      </c>
      <c r="L564" s="30">
        <v>13.34656332296229</v>
      </c>
      <c r="M564" s="30">
        <v>0</v>
      </c>
    </row>
    <row r="565" spans="2:13" x14ac:dyDescent="0.25">
      <c r="B565" s="27">
        <v>562</v>
      </c>
      <c r="C565" s="29">
        <v>47.185683081965998</v>
      </c>
      <c r="D565" s="29">
        <v>86.135161173240519</v>
      </c>
      <c r="E565" s="29">
        <v>94.041366195735947</v>
      </c>
      <c r="F565" s="29">
        <v>44.473131203475589</v>
      </c>
      <c r="G565" s="29">
        <v>0</v>
      </c>
      <c r="H565" s="29">
        <v>33.205271022573022</v>
      </c>
      <c r="I565" s="29">
        <v>60.341624494522918</v>
      </c>
      <c r="J565" s="29">
        <v>0</v>
      </c>
      <c r="K565" s="29">
        <v>0</v>
      </c>
      <c r="L565" s="30">
        <v>0</v>
      </c>
      <c r="M565" s="30">
        <v>0</v>
      </c>
    </row>
    <row r="566" spans="2:13" x14ac:dyDescent="0.25">
      <c r="B566" s="27">
        <v>563</v>
      </c>
      <c r="C566" s="29">
        <v>42.060625160352089</v>
      </c>
      <c r="D566" s="29">
        <v>62.043198889648586</v>
      </c>
      <c r="E566" s="29">
        <v>124.34684187163998</v>
      </c>
      <c r="F566" s="29">
        <v>56.114370037448744</v>
      </c>
      <c r="G566" s="29">
        <v>0</v>
      </c>
      <c r="H566" s="29">
        <v>0</v>
      </c>
      <c r="I566" s="29">
        <v>0</v>
      </c>
      <c r="J566" s="29">
        <v>0</v>
      </c>
      <c r="K566" s="29">
        <v>42.969669931799586</v>
      </c>
      <c r="L566" s="30">
        <v>0</v>
      </c>
      <c r="M566" s="30">
        <v>0</v>
      </c>
    </row>
    <row r="567" spans="2:13" x14ac:dyDescent="0.25">
      <c r="B567" s="27">
        <v>564</v>
      </c>
      <c r="C567" s="29">
        <v>49.274550558310224</v>
      </c>
      <c r="D567" s="29">
        <v>70.615805588257118</v>
      </c>
      <c r="E567" s="29">
        <v>88.052216157094676</v>
      </c>
      <c r="F567" s="29">
        <v>40.629033494972987</v>
      </c>
      <c r="G567" s="29">
        <v>0</v>
      </c>
      <c r="H567" s="29">
        <v>0</v>
      </c>
      <c r="I567" s="29">
        <v>0</v>
      </c>
      <c r="J567" s="29">
        <v>0</v>
      </c>
      <c r="K567" s="29">
        <v>23.815375875256194</v>
      </c>
      <c r="L567" s="30">
        <v>0</v>
      </c>
      <c r="M567" s="30">
        <v>0</v>
      </c>
    </row>
    <row r="568" spans="2:13" x14ac:dyDescent="0.25">
      <c r="B568" s="27">
        <v>565</v>
      </c>
      <c r="C568" s="29">
        <v>39.067925801396406</v>
      </c>
      <c r="D568" s="29">
        <v>85.179034445718727</v>
      </c>
      <c r="E568" s="29">
        <v>116.29328888283737</v>
      </c>
      <c r="F568" s="29">
        <v>40.74741782952821</v>
      </c>
      <c r="G568" s="29">
        <v>0</v>
      </c>
      <c r="H568" s="29">
        <v>0</v>
      </c>
      <c r="I568" s="29">
        <v>39.55860692746559</v>
      </c>
      <c r="J568" s="29">
        <v>0</v>
      </c>
      <c r="K568" s="29">
        <v>41.261245401267146</v>
      </c>
      <c r="L568" s="30">
        <v>0</v>
      </c>
      <c r="M568" s="30">
        <v>0</v>
      </c>
    </row>
    <row r="569" spans="2:13" x14ac:dyDescent="0.25">
      <c r="B569" s="27">
        <v>566</v>
      </c>
      <c r="C569" s="29">
        <v>50.681550640079138</v>
      </c>
      <c r="D569" s="29">
        <v>72.537181763966117</v>
      </c>
      <c r="E569" s="29">
        <v>94.53516939224707</v>
      </c>
      <c r="F569" s="29">
        <v>0</v>
      </c>
      <c r="G569" s="29">
        <v>40.913374461841983</v>
      </c>
      <c r="H569" s="29">
        <v>0</v>
      </c>
      <c r="I569" s="29">
        <v>0</v>
      </c>
      <c r="J569" s="29">
        <v>0</v>
      </c>
      <c r="K569" s="29">
        <v>49.707164686642209</v>
      </c>
      <c r="L569" s="30">
        <v>0</v>
      </c>
      <c r="M569" s="30">
        <v>0</v>
      </c>
    </row>
    <row r="570" spans="2:13" x14ac:dyDescent="0.25">
      <c r="B570" s="27">
        <v>567</v>
      </c>
      <c r="C570" s="29">
        <v>53.981133823034263</v>
      </c>
      <c r="D570" s="29">
        <v>61.366943954639638</v>
      </c>
      <c r="E570" s="29">
        <v>0</v>
      </c>
      <c r="F570" s="29">
        <v>0</v>
      </c>
      <c r="G570" s="29">
        <v>0</v>
      </c>
      <c r="H570" s="29">
        <v>0</v>
      </c>
      <c r="I570" s="29">
        <v>0</v>
      </c>
      <c r="J570" s="29">
        <v>0</v>
      </c>
      <c r="K570" s="29">
        <v>20.931707664663435</v>
      </c>
      <c r="L570" s="30">
        <v>0</v>
      </c>
      <c r="M570" s="30">
        <v>0</v>
      </c>
    </row>
    <row r="571" spans="2:13" x14ac:dyDescent="0.25">
      <c r="B571" s="27">
        <v>568</v>
      </c>
      <c r="C571" s="29">
        <v>53.612263111129536</v>
      </c>
      <c r="D571" s="29">
        <v>68.496938543681338</v>
      </c>
      <c r="E571" s="29">
        <v>0</v>
      </c>
      <c r="F571" s="29">
        <v>47.124178996458276</v>
      </c>
      <c r="G571" s="29">
        <v>0</v>
      </c>
      <c r="H571" s="29">
        <v>39.467477359788163</v>
      </c>
      <c r="I571" s="29">
        <v>67.677534968838572</v>
      </c>
      <c r="J571" s="29">
        <v>0</v>
      </c>
      <c r="K571" s="29">
        <v>54.772600529444667</v>
      </c>
      <c r="L571" s="30">
        <v>57.675250703532292</v>
      </c>
      <c r="M571" s="30">
        <v>0</v>
      </c>
    </row>
    <row r="572" spans="2:13" x14ac:dyDescent="0.25">
      <c r="B572" s="27">
        <v>569</v>
      </c>
      <c r="C572" s="29">
        <v>57.539749725839457</v>
      </c>
      <c r="D572" s="29">
        <v>76.025827305717456</v>
      </c>
      <c r="E572" s="29">
        <v>91.750662697535574</v>
      </c>
      <c r="F572" s="29">
        <v>49.861420515958692</v>
      </c>
      <c r="G572" s="29">
        <v>0</v>
      </c>
      <c r="H572" s="29">
        <v>0</v>
      </c>
      <c r="I572" s="29">
        <v>0</v>
      </c>
      <c r="J572" s="29">
        <v>39.335797944325783</v>
      </c>
      <c r="K572" s="29">
        <v>28.90416075601717</v>
      </c>
      <c r="L572" s="30">
        <v>0</v>
      </c>
      <c r="M572" s="30">
        <v>0</v>
      </c>
    </row>
    <row r="573" spans="2:13" x14ac:dyDescent="0.25">
      <c r="B573" s="27">
        <v>570</v>
      </c>
      <c r="C573" s="29">
        <v>46.758051881552603</v>
      </c>
      <c r="D573" s="29">
        <v>87.434818501597292</v>
      </c>
      <c r="E573" s="29">
        <v>88.710837088455179</v>
      </c>
      <c r="F573" s="29">
        <v>18.521532223190761</v>
      </c>
      <c r="G573" s="29">
        <v>0</v>
      </c>
      <c r="H573" s="29">
        <v>36.717053970193717</v>
      </c>
      <c r="I573" s="29">
        <v>56.166491189486898</v>
      </c>
      <c r="J573" s="29">
        <v>24.960874649241834</v>
      </c>
      <c r="K573" s="29">
        <v>36.70774257773023</v>
      </c>
      <c r="L573" s="30">
        <v>0</v>
      </c>
      <c r="M573" s="30">
        <v>0</v>
      </c>
    </row>
    <row r="574" spans="2:13" x14ac:dyDescent="0.25">
      <c r="B574" s="27">
        <v>571</v>
      </c>
      <c r="C574" s="29">
        <v>46.204530680721568</v>
      </c>
      <c r="D574" s="29">
        <v>71.696940115018521</v>
      </c>
      <c r="E574" s="29">
        <v>63.853723159996278</v>
      </c>
      <c r="F574" s="29">
        <v>56.346161444163386</v>
      </c>
      <c r="G574" s="29">
        <v>0</v>
      </c>
      <c r="H574" s="29">
        <v>34.94304599523057</v>
      </c>
      <c r="I574" s="29">
        <v>53.753153963990357</v>
      </c>
      <c r="J574" s="29">
        <v>0</v>
      </c>
      <c r="K574" s="29">
        <v>43.682614232042113</v>
      </c>
      <c r="L574" s="30">
        <v>52.995339667635335</v>
      </c>
      <c r="M574" s="30">
        <v>0</v>
      </c>
    </row>
    <row r="575" spans="2:13" x14ac:dyDescent="0.25">
      <c r="B575" s="27">
        <v>572</v>
      </c>
      <c r="C575" s="29">
        <v>62.472540060977963</v>
      </c>
      <c r="D575" s="29">
        <v>69.586631314254788</v>
      </c>
      <c r="E575" s="29">
        <v>90.057521489537208</v>
      </c>
      <c r="F575" s="29">
        <v>35.503121161599438</v>
      </c>
      <c r="G575" s="29">
        <v>0</v>
      </c>
      <c r="H575" s="29">
        <v>0</v>
      </c>
      <c r="I575" s="29">
        <v>20.776144744367166</v>
      </c>
      <c r="J575" s="29">
        <v>0</v>
      </c>
      <c r="K575" s="29">
        <v>0</v>
      </c>
      <c r="L575" s="30">
        <v>0</v>
      </c>
      <c r="M575" s="30">
        <v>0</v>
      </c>
    </row>
    <row r="576" spans="2:13" x14ac:dyDescent="0.25">
      <c r="B576" s="27">
        <v>573</v>
      </c>
      <c r="C576" s="29">
        <v>22.862399348567468</v>
      </c>
      <c r="D576" s="29">
        <v>83.851267913827058</v>
      </c>
      <c r="E576" s="29">
        <v>100.96841215184639</v>
      </c>
      <c r="F576" s="29">
        <v>43.76829346905928</v>
      </c>
      <c r="G576" s="29">
        <v>0</v>
      </c>
      <c r="H576" s="29">
        <v>0</v>
      </c>
      <c r="I576" s="29">
        <v>56.340464479500774</v>
      </c>
      <c r="J576" s="29">
        <v>0</v>
      </c>
      <c r="K576" s="29">
        <v>53.105186816381732</v>
      </c>
      <c r="L576" s="30">
        <v>0</v>
      </c>
      <c r="M576" s="30">
        <v>0</v>
      </c>
    </row>
    <row r="577" spans="2:13" x14ac:dyDescent="0.25">
      <c r="B577" s="27">
        <v>574</v>
      </c>
      <c r="C577" s="29">
        <v>33.952468058201802</v>
      </c>
      <c r="D577" s="29">
        <v>77.280397756079807</v>
      </c>
      <c r="E577" s="29">
        <v>107.43081840136246</v>
      </c>
      <c r="F577" s="29">
        <v>0</v>
      </c>
      <c r="G577" s="29">
        <v>0</v>
      </c>
      <c r="H577" s="29">
        <v>0</v>
      </c>
      <c r="I577" s="29">
        <v>0</v>
      </c>
      <c r="J577" s="29">
        <v>45.579543382397816</v>
      </c>
      <c r="K577" s="29">
        <v>44.345222883983176</v>
      </c>
      <c r="L577" s="30">
        <v>0</v>
      </c>
      <c r="M577" s="30">
        <v>0</v>
      </c>
    </row>
    <row r="578" spans="2:13" x14ac:dyDescent="0.25">
      <c r="B578" s="27">
        <v>575</v>
      </c>
      <c r="C578" s="29">
        <v>33.523206686179115</v>
      </c>
      <c r="D578" s="29">
        <v>0</v>
      </c>
      <c r="E578" s="29">
        <v>72.546982712208845</v>
      </c>
      <c r="F578" s="29">
        <v>57.9897417486481</v>
      </c>
      <c r="G578" s="29">
        <v>0</v>
      </c>
      <c r="H578" s="29">
        <v>0</v>
      </c>
      <c r="I578" s="29">
        <v>36.740782604666393</v>
      </c>
      <c r="J578" s="29">
        <v>0</v>
      </c>
      <c r="K578" s="29">
        <v>0</v>
      </c>
      <c r="L578" s="30">
        <v>0</v>
      </c>
      <c r="M578" s="30">
        <v>0</v>
      </c>
    </row>
    <row r="579" spans="2:13" x14ac:dyDescent="0.25">
      <c r="B579" s="27">
        <v>576</v>
      </c>
      <c r="C579" s="29">
        <v>58.275790732409405</v>
      </c>
      <c r="D579" s="29">
        <v>70.254050586462469</v>
      </c>
      <c r="E579" s="29">
        <v>124.70480046306258</v>
      </c>
      <c r="F579" s="29">
        <v>49.156661961812098</v>
      </c>
      <c r="G579" s="29">
        <v>0</v>
      </c>
      <c r="H579" s="29">
        <v>41.553940921104598</v>
      </c>
      <c r="I579" s="29">
        <v>0</v>
      </c>
      <c r="J579" s="29">
        <v>0</v>
      </c>
      <c r="K579" s="29">
        <v>37.54680144992399</v>
      </c>
      <c r="L579" s="30">
        <v>0</v>
      </c>
      <c r="M579" s="30">
        <v>0</v>
      </c>
    </row>
    <row r="580" spans="2:13" x14ac:dyDescent="0.25">
      <c r="B580" s="27">
        <v>577</v>
      </c>
      <c r="C580" s="29">
        <v>42.360089258083377</v>
      </c>
      <c r="D580" s="29">
        <v>82.319888695845634</v>
      </c>
      <c r="E580" s="29">
        <v>83.59371235911722</v>
      </c>
      <c r="F580" s="29">
        <v>0</v>
      </c>
      <c r="G580" s="29">
        <v>0</v>
      </c>
      <c r="H580" s="29">
        <v>26.657606064384883</v>
      </c>
      <c r="I580" s="29">
        <v>36.337089903820285</v>
      </c>
      <c r="J580" s="29">
        <v>0</v>
      </c>
      <c r="K580" s="29">
        <v>47.585288172347127</v>
      </c>
      <c r="L580" s="30">
        <v>0</v>
      </c>
      <c r="M580" s="30">
        <v>0</v>
      </c>
    </row>
    <row r="581" spans="2:13" x14ac:dyDescent="0.25">
      <c r="B581" s="27">
        <v>578</v>
      </c>
      <c r="C581" s="29">
        <v>0</v>
      </c>
      <c r="D581" s="29">
        <v>73.998199087091336</v>
      </c>
      <c r="E581" s="29">
        <v>0</v>
      </c>
      <c r="F581" s="29">
        <v>0</v>
      </c>
      <c r="G581" s="29">
        <v>0</v>
      </c>
      <c r="H581" s="29">
        <v>0</v>
      </c>
      <c r="I581" s="29">
        <v>0</v>
      </c>
      <c r="J581" s="29">
        <v>0</v>
      </c>
      <c r="K581" s="29">
        <v>28.243441231466676</v>
      </c>
      <c r="L581" s="30">
        <v>0</v>
      </c>
      <c r="M581" s="30">
        <v>0</v>
      </c>
    </row>
    <row r="582" spans="2:13" x14ac:dyDescent="0.25">
      <c r="B582" s="27">
        <v>579</v>
      </c>
      <c r="C582" s="29">
        <v>0</v>
      </c>
      <c r="D582" s="29">
        <v>73.34584987649923</v>
      </c>
      <c r="E582" s="29">
        <v>0</v>
      </c>
      <c r="F582" s="29">
        <v>50.424430850461661</v>
      </c>
      <c r="G582" s="29">
        <v>56.636042447085146</v>
      </c>
      <c r="H582" s="29">
        <v>0</v>
      </c>
      <c r="I582" s="29">
        <v>39.790488485653952</v>
      </c>
      <c r="J582" s="29">
        <v>40.669917226062395</v>
      </c>
      <c r="K582" s="29">
        <v>60.638799584272348</v>
      </c>
      <c r="L582" s="30">
        <v>0</v>
      </c>
      <c r="M582" s="30">
        <v>0</v>
      </c>
    </row>
    <row r="583" spans="2:13" x14ac:dyDescent="0.25">
      <c r="B583" s="27">
        <v>580</v>
      </c>
      <c r="C583" s="29">
        <v>44.755622914467004</v>
      </c>
      <c r="D583" s="29">
        <v>80.745876160625613</v>
      </c>
      <c r="E583" s="29">
        <v>99.545520617591535</v>
      </c>
      <c r="F583" s="29">
        <v>24.923680939893956</v>
      </c>
      <c r="G583" s="29">
        <v>0</v>
      </c>
      <c r="H583" s="29">
        <v>0</v>
      </c>
      <c r="I583" s="29">
        <v>31.416953354411568</v>
      </c>
      <c r="J583" s="29">
        <v>0</v>
      </c>
      <c r="K583" s="29">
        <v>51.906393693891452</v>
      </c>
      <c r="L583" s="30">
        <v>0</v>
      </c>
      <c r="M583" s="30">
        <v>0</v>
      </c>
    </row>
    <row r="584" spans="2:13" x14ac:dyDescent="0.25">
      <c r="B584" s="27">
        <v>581</v>
      </c>
      <c r="C584" s="29">
        <v>22.700402878170955</v>
      </c>
      <c r="D584" s="29">
        <v>69.297891221243006</v>
      </c>
      <c r="E584" s="29">
        <v>125.84624393131344</v>
      </c>
      <c r="F584" s="29">
        <v>0</v>
      </c>
      <c r="G584" s="29">
        <v>0</v>
      </c>
      <c r="H584" s="29">
        <v>0</v>
      </c>
      <c r="I584" s="29">
        <v>0</v>
      </c>
      <c r="J584" s="29">
        <v>0</v>
      </c>
      <c r="K584" s="29">
        <v>59.927004978018275</v>
      </c>
      <c r="L584" s="30">
        <v>0</v>
      </c>
      <c r="M584" s="30">
        <v>0</v>
      </c>
    </row>
    <row r="585" spans="2:13" x14ac:dyDescent="0.25">
      <c r="B585" s="27">
        <v>582</v>
      </c>
      <c r="C585" s="29">
        <v>41.684557718851991</v>
      </c>
      <c r="D585" s="29">
        <v>73.412373515927243</v>
      </c>
      <c r="E585" s="29">
        <v>100.88547426131598</v>
      </c>
      <c r="F585" s="29">
        <v>41.859030683877293</v>
      </c>
      <c r="G585" s="29">
        <v>0</v>
      </c>
      <c r="H585" s="29">
        <v>0</v>
      </c>
      <c r="I585" s="29">
        <v>40.608114535168667</v>
      </c>
      <c r="J585" s="29">
        <v>0</v>
      </c>
      <c r="K585" s="29">
        <v>56.578806767954234</v>
      </c>
      <c r="L585" s="30">
        <v>0</v>
      </c>
      <c r="M585" s="30">
        <v>0</v>
      </c>
    </row>
    <row r="586" spans="2:13" x14ac:dyDescent="0.25">
      <c r="B586" s="27">
        <v>583</v>
      </c>
      <c r="C586" s="29">
        <v>38.957407946384336</v>
      </c>
      <c r="D586" s="29">
        <v>69.118465785894671</v>
      </c>
      <c r="E586" s="29">
        <v>80.689070491997455</v>
      </c>
      <c r="F586" s="29">
        <v>0</v>
      </c>
      <c r="G586" s="29">
        <v>30.403497120846808</v>
      </c>
      <c r="H586" s="29">
        <v>44.176111519042145</v>
      </c>
      <c r="I586" s="29">
        <v>47.882197432373019</v>
      </c>
      <c r="J586" s="29">
        <v>0</v>
      </c>
      <c r="K586" s="29">
        <v>52.890360165647706</v>
      </c>
      <c r="L586" s="30">
        <v>0</v>
      </c>
      <c r="M586" s="30">
        <v>0</v>
      </c>
    </row>
    <row r="587" spans="2:13" x14ac:dyDescent="0.25">
      <c r="B587" s="27">
        <v>584</v>
      </c>
      <c r="C587" s="29">
        <v>29.234864923628265</v>
      </c>
      <c r="D587" s="29">
        <v>55.143190625897759</v>
      </c>
      <c r="E587" s="29">
        <v>95.678350797407546</v>
      </c>
      <c r="F587" s="29">
        <v>48.861370084479645</v>
      </c>
      <c r="G587" s="29">
        <v>0</v>
      </c>
      <c r="H587" s="29">
        <v>0</v>
      </c>
      <c r="I587" s="29">
        <v>0</v>
      </c>
      <c r="J587" s="29">
        <v>0</v>
      </c>
      <c r="K587" s="29">
        <v>35.690114236657294</v>
      </c>
      <c r="L587" s="30">
        <v>0</v>
      </c>
      <c r="M587" s="30">
        <v>0</v>
      </c>
    </row>
    <row r="588" spans="2:13" x14ac:dyDescent="0.25">
      <c r="B588" s="27">
        <v>585</v>
      </c>
      <c r="C588" s="29">
        <v>28.594105710427549</v>
      </c>
      <c r="D588" s="29">
        <v>0</v>
      </c>
      <c r="E588" s="29">
        <v>103.33219712644461</v>
      </c>
      <c r="F588" s="29">
        <v>36.184469661071994</v>
      </c>
      <c r="G588" s="29">
        <v>0</v>
      </c>
      <c r="H588" s="29">
        <v>0</v>
      </c>
      <c r="I588" s="29">
        <v>0</v>
      </c>
      <c r="J588" s="29">
        <v>0</v>
      </c>
      <c r="K588" s="29">
        <v>49.238619982948627</v>
      </c>
      <c r="L588" s="30">
        <v>50.380811266664814</v>
      </c>
      <c r="M588" s="30">
        <v>0</v>
      </c>
    </row>
    <row r="589" spans="2:13" x14ac:dyDescent="0.25">
      <c r="B589" s="27">
        <v>586</v>
      </c>
      <c r="C589" s="29">
        <v>42.926631577848845</v>
      </c>
      <c r="D589" s="29">
        <v>69.888594095645416</v>
      </c>
      <c r="E589" s="29">
        <v>93.664084222050576</v>
      </c>
      <c r="F589" s="29">
        <v>0</v>
      </c>
      <c r="G589" s="29">
        <v>0</v>
      </c>
      <c r="H589" s="29">
        <v>0</v>
      </c>
      <c r="I589" s="29">
        <v>0</v>
      </c>
      <c r="J589" s="29">
        <v>0</v>
      </c>
      <c r="K589" s="29">
        <v>49.278900505584907</v>
      </c>
      <c r="L589" s="30">
        <v>0</v>
      </c>
      <c r="M589" s="30">
        <v>0</v>
      </c>
    </row>
    <row r="590" spans="2:13" x14ac:dyDescent="0.25">
      <c r="B590" s="27">
        <v>587</v>
      </c>
      <c r="C590" s="29">
        <v>32.440951512309404</v>
      </c>
      <c r="D590" s="29">
        <v>69.776474427218687</v>
      </c>
      <c r="E590" s="29">
        <v>77.271817904223795</v>
      </c>
      <c r="F590" s="29">
        <v>47.474069542317999</v>
      </c>
      <c r="G590" s="29">
        <v>0</v>
      </c>
      <c r="H590" s="29">
        <v>0</v>
      </c>
      <c r="I590" s="29">
        <v>31.690332291745719</v>
      </c>
      <c r="J590" s="29">
        <v>0</v>
      </c>
      <c r="K590" s="29">
        <v>44.639967976689327</v>
      </c>
      <c r="L590" s="30">
        <v>0</v>
      </c>
      <c r="M590" s="30">
        <v>0</v>
      </c>
    </row>
    <row r="591" spans="2:13" x14ac:dyDescent="0.25">
      <c r="B591" s="27">
        <v>588</v>
      </c>
      <c r="C591" s="29">
        <v>46.36467869764455</v>
      </c>
      <c r="D591" s="29">
        <v>82.066208400754888</v>
      </c>
      <c r="E591" s="29">
        <v>0</v>
      </c>
      <c r="F591" s="29">
        <v>0</v>
      </c>
      <c r="G591" s="29">
        <v>0</v>
      </c>
      <c r="H591" s="29">
        <v>0</v>
      </c>
      <c r="I591" s="29">
        <v>16.85142222575907</v>
      </c>
      <c r="J591" s="29">
        <v>53.216732845407478</v>
      </c>
      <c r="K591" s="29">
        <v>0</v>
      </c>
      <c r="L591" s="30">
        <v>46.200668799365808</v>
      </c>
      <c r="M591" s="30">
        <v>0</v>
      </c>
    </row>
    <row r="592" spans="2:13" x14ac:dyDescent="0.25">
      <c r="B592" s="27">
        <v>589</v>
      </c>
      <c r="C592" s="29">
        <v>0</v>
      </c>
      <c r="D592" s="29">
        <v>72.650307206973181</v>
      </c>
      <c r="E592" s="29">
        <v>95.370855526143018</v>
      </c>
      <c r="F592" s="29">
        <v>27.084969221734752</v>
      </c>
      <c r="G592" s="29">
        <v>0</v>
      </c>
      <c r="H592" s="29">
        <v>25.452018619097096</v>
      </c>
      <c r="I592" s="29">
        <v>46.454904083038841</v>
      </c>
      <c r="J592" s="29">
        <v>52.910773341665603</v>
      </c>
      <c r="K592" s="29">
        <v>39.197993125617856</v>
      </c>
      <c r="L592" s="30">
        <v>43.366997275102172</v>
      </c>
      <c r="M592" s="30">
        <v>0</v>
      </c>
    </row>
    <row r="593" spans="2:13" x14ac:dyDescent="0.25">
      <c r="B593" s="27">
        <v>590</v>
      </c>
      <c r="C593" s="29">
        <v>45.092098961753088</v>
      </c>
      <c r="D593" s="29">
        <v>0</v>
      </c>
      <c r="E593" s="29">
        <v>89.546874404428905</v>
      </c>
      <c r="F593" s="29">
        <v>42.94480624869859</v>
      </c>
      <c r="G593" s="29">
        <v>50.393286114943606</v>
      </c>
      <c r="H593" s="29">
        <v>0</v>
      </c>
      <c r="I593" s="29">
        <v>0</v>
      </c>
      <c r="J593" s="29">
        <v>38.326559229588348</v>
      </c>
      <c r="K593" s="29">
        <v>63.053431084162789</v>
      </c>
      <c r="L593" s="30">
        <v>0</v>
      </c>
      <c r="M593" s="30">
        <v>0</v>
      </c>
    </row>
    <row r="594" spans="2:13" x14ac:dyDescent="0.25">
      <c r="B594" s="27">
        <v>591</v>
      </c>
      <c r="C594" s="29">
        <v>40.958458670177421</v>
      </c>
      <c r="D594" s="29">
        <v>73.23130136012611</v>
      </c>
      <c r="E594" s="29">
        <v>96.323912255545082</v>
      </c>
      <c r="F594" s="29">
        <v>64.141016471178276</v>
      </c>
      <c r="G594" s="29">
        <v>0</v>
      </c>
      <c r="H594" s="29">
        <v>0</v>
      </c>
      <c r="I594" s="29">
        <v>58.802547051064714</v>
      </c>
      <c r="J594" s="29">
        <v>0</v>
      </c>
      <c r="K594" s="29">
        <v>37.022573433356641</v>
      </c>
      <c r="L594" s="30">
        <v>0</v>
      </c>
      <c r="M594" s="30">
        <v>0</v>
      </c>
    </row>
    <row r="595" spans="2:13" x14ac:dyDescent="0.25">
      <c r="B595" s="27">
        <v>592</v>
      </c>
      <c r="C595" s="29">
        <v>40.954074644409829</v>
      </c>
      <c r="D595" s="29">
        <v>76.01072816263445</v>
      </c>
      <c r="E595" s="29">
        <v>78.301122498803039</v>
      </c>
      <c r="F595" s="29">
        <v>56.183184187751948</v>
      </c>
      <c r="G595" s="29">
        <v>0</v>
      </c>
      <c r="H595" s="29">
        <v>0</v>
      </c>
      <c r="I595" s="29">
        <v>47.292404450626115</v>
      </c>
      <c r="J595" s="29">
        <v>0</v>
      </c>
      <c r="K595" s="29">
        <v>48.25137092067876</v>
      </c>
      <c r="L595" s="30">
        <v>0</v>
      </c>
      <c r="M595" s="30">
        <v>0</v>
      </c>
    </row>
    <row r="596" spans="2:13" x14ac:dyDescent="0.25">
      <c r="B596" s="27">
        <v>593</v>
      </c>
      <c r="C596" s="29">
        <v>49.357216715443549</v>
      </c>
      <c r="D596" s="29">
        <v>60.246207130745589</v>
      </c>
      <c r="E596" s="29">
        <v>130.47996415890267</v>
      </c>
      <c r="F596" s="29">
        <v>0</v>
      </c>
      <c r="G596" s="29">
        <v>0</v>
      </c>
      <c r="H596" s="29">
        <v>0</v>
      </c>
      <c r="I596" s="29">
        <v>41.899883779900584</v>
      </c>
      <c r="J596" s="29">
        <v>0</v>
      </c>
      <c r="K596" s="29">
        <v>25.257499772080905</v>
      </c>
      <c r="L596" s="30">
        <v>0</v>
      </c>
      <c r="M596" s="30">
        <v>0</v>
      </c>
    </row>
    <row r="597" spans="2:13" x14ac:dyDescent="0.25">
      <c r="B597" s="27">
        <v>594</v>
      </c>
      <c r="C597" s="29">
        <v>35.481029241108899</v>
      </c>
      <c r="D597" s="29">
        <v>85.237261333203421</v>
      </c>
      <c r="E597" s="29">
        <v>0</v>
      </c>
      <c r="F597" s="29">
        <v>36.571222783104105</v>
      </c>
      <c r="G597" s="29">
        <v>0</v>
      </c>
      <c r="H597" s="29">
        <v>0</v>
      </c>
      <c r="I597" s="29">
        <v>0</v>
      </c>
      <c r="J597" s="29">
        <v>45.710061926394765</v>
      </c>
      <c r="K597" s="29">
        <v>66.097979533732769</v>
      </c>
      <c r="L597" s="30">
        <v>43.102312156219085</v>
      </c>
      <c r="M597" s="30">
        <v>0</v>
      </c>
    </row>
    <row r="598" spans="2:13" x14ac:dyDescent="0.25">
      <c r="B598" s="27">
        <v>595</v>
      </c>
      <c r="C598" s="29">
        <v>0</v>
      </c>
      <c r="D598" s="29">
        <v>0</v>
      </c>
      <c r="E598" s="29">
        <v>0</v>
      </c>
      <c r="F598" s="29">
        <v>32.423234028854502</v>
      </c>
      <c r="G598" s="29">
        <v>0</v>
      </c>
      <c r="H598" s="29">
        <v>0</v>
      </c>
      <c r="I598" s="29">
        <v>0</v>
      </c>
      <c r="J598" s="29">
        <v>0</v>
      </c>
      <c r="K598" s="29">
        <v>0</v>
      </c>
      <c r="L598" s="30">
        <v>0</v>
      </c>
      <c r="M598" s="30">
        <v>0</v>
      </c>
    </row>
    <row r="599" spans="2:13" x14ac:dyDescent="0.25">
      <c r="B599" s="27">
        <v>596</v>
      </c>
      <c r="C599" s="29">
        <v>31.251700251457127</v>
      </c>
      <c r="D599" s="29">
        <v>61.021434063483781</v>
      </c>
      <c r="E599" s="29">
        <v>0</v>
      </c>
      <c r="F599" s="29">
        <v>28.220704352488827</v>
      </c>
      <c r="G599" s="29">
        <v>0</v>
      </c>
      <c r="H599" s="29">
        <v>30.666763565711562</v>
      </c>
      <c r="I599" s="29">
        <v>0</v>
      </c>
      <c r="J599" s="29">
        <v>24.851314923076817</v>
      </c>
      <c r="K599" s="29">
        <v>31.591599066105104</v>
      </c>
      <c r="L599" s="30">
        <v>0</v>
      </c>
      <c r="M599" s="30">
        <v>0</v>
      </c>
    </row>
    <row r="600" spans="2:13" x14ac:dyDescent="0.25">
      <c r="B600" s="27">
        <v>597</v>
      </c>
      <c r="C600" s="29">
        <v>38.850274219283676</v>
      </c>
      <c r="D600" s="29">
        <v>66.864842996551431</v>
      </c>
      <c r="E600" s="29">
        <v>0</v>
      </c>
      <c r="F600" s="29">
        <v>34.32072223706151</v>
      </c>
      <c r="G600" s="29">
        <v>0</v>
      </c>
      <c r="H600" s="29">
        <v>41.606929460932648</v>
      </c>
      <c r="I600" s="29">
        <v>0</v>
      </c>
      <c r="J600" s="29">
        <v>0</v>
      </c>
      <c r="K600" s="29">
        <v>49.337994439489876</v>
      </c>
      <c r="L600" s="30">
        <v>0</v>
      </c>
      <c r="M600" s="30">
        <v>0</v>
      </c>
    </row>
    <row r="601" spans="2:13" x14ac:dyDescent="0.25">
      <c r="B601" s="27">
        <v>598</v>
      </c>
      <c r="C601" s="29">
        <v>38.261092946192193</v>
      </c>
      <c r="D601" s="29">
        <v>64.152007729609821</v>
      </c>
      <c r="E601" s="29">
        <v>0</v>
      </c>
      <c r="F601" s="29">
        <v>0</v>
      </c>
      <c r="G601" s="29">
        <v>0</v>
      </c>
      <c r="H601" s="29">
        <v>0</v>
      </c>
      <c r="I601" s="29">
        <v>36.225864451960199</v>
      </c>
      <c r="J601" s="29">
        <v>0</v>
      </c>
      <c r="K601" s="29">
        <v>0</v>
      </c>
      <c r="L601" s="30">
        <v>0</v>
      </c>
      <c r="M601" s="30">
        <v>0</v>
      </c>
    </row>
    <row r="602" spans="2:13" x14ac:dyDescent="0.25">
      <c r="B602" s="27">
        <v>599</v>
      </c>
      <c r="C602" s="29">
        <v>39.432021370428117</v>
      </c>
      <c r="D602" s="29">
        <v>67.230466094328278</v>
      </c>
      <c r="E602" s="29">
        <v>67.188421070893469</v>
      </c>
      <c r="F602" s="29">
        <v>49.912351512296922</v>
      </c>
      <c r="G602" s="29">
        <v>0</v>
      </c>
      <c r="H602" s="29">
        <v>21.794175203397288</v>
      </c>
      <c r="I602" s="29">
        <v>0</v>
      </c>
      <c r="J602" s="29">
        <v>0</v>
      </c>
      <c r="K602" s="29">
        <v>61.558539520062908</v>
      </c>
      <c r="L602" s="30">
        <v>0</v>
      </c>
      <c r="M602" s="30">
        <v>0</v>
      </c>
    </row>
    <row r="603" spans="2:13" x14ac:dyDescent="0.25">
      <c r="B603" s="27">
        <v>600</v>
      </c>
      <c r="C603" s="29">
        <v>51.690336053706552</v>
      </c>
      <c r="D603" s="29">
        <v>67.660824098437274</v>
      </c>
      <c r="E603" s="29">
        <v>0</v>
      </c>
      <c r="F603" s="29">
        <v>37.032758950507507</v>
      </c>
      <c r="G603" s="29">
        <v>0</v>
      </c>
      <c r="H603" s="29">
        <v>0</v>
      </c>
      <c r="I603" s="29">
        <v>32.862893760624608</v>
      </c>
      <c r="J603" s="29">
        <v>0</v>
      </c>
      <c r="K603" s="29">
        <v>28.25607380768724</v>
      </c>
      <c r="L603" s="30">
        <v>0</v>
      </c>
      <c r="M603" s="30">
        <v>0</v>
      </c>
    </row>
    <row r="604" spans="2:13" x14ac:dyDescent="0.25">
      <c r="B604" s="27">
        <v>601</v>
      </c>
      <c r="C604" s="29">
        <v>52.668823054479773</v>
      </c>
      <c r="D604" s="29">
        <v>59.730339044707009</v>
      </c>
      <c r="E604" s="29">
        <v>146.44579040007463</v>
      </c>
      <c r="F604" s="29">
        <v>0</v>
      </c>
      <c r="G604" s="29">
        <v>0</v>
      </c>
      <c r="H604" s="29">
        <v>0</v>
      </c>
      <c r="I604" s="29">
        <v>0</v>
      </c>
      <c r="J604" s="29">
        <v>0</v>
      </c>
      <c r="K604" s="29">
        <v>57.221664295284413</v>
      </c>
      <c r="L604" s="30">
        <v>50.260544658611252</v>
      </c>
      <c r="M604" s="30">
        <v>0</v>
      </c>
    </row>
    <row r="605" spans="2:13" x14ac:dyDescent="0.25">
      <c r="B605" s="27">
        <v>602</v>
      </c>
      <c r="C605" s="29">
        <v>0</v>
      </c>
      <c r="D605" s="29">
        <v>88.094811492626036</v>
      </c>
      <c r="E605" s="29">
        <v>0</v>
      </c>
      <c r="F605" s="29">
        <v>35.880830825189918</v>
      </c>
      <c r="G605" s="29">
        <v>0</v>
      </c>
      <c r="H605" s="29">
        <v>25.156535150696119</v>
      </c>
      <c r="I605" s="29">
        <v>0</v>
      </c>
      <c r="J605" s="29">
        <v>0</v>
      </c>
      <c r="K605" s="29">
        <v>63.006581015023087</v>
      </c>
      <c r="L605" s="30">
        <v>54.309198608668254</v>
      </c>
      <c r="M605" s="30">
        <v>0</v>
      </c>
    </row>
    <row r="606" spans="2:13" x14ac:dyDescent="0.25">
      <c r="B606" s="27">
        <v>603</v>
      </c>
      <c r="C606" s="29">
        <v>15.607661756638441</v>
      </c>
      <c r="D606" s="29">
        <v>58.113390503224529</v>
      </c>
      <c r="E606" s="29">
        <v>80.776292710729024</v>
      </c>
      <c r="F606" s="29">
        <v>61.841260570731464</v>
      </c>
      <c r="G606" s="29">
        <v>0</v>
      </c>
      <c r="H606" s="29">
        <v>34.165943066638981</v>
      </c>
      <c r="I606" s="29">
        <v>0</v>
      </c>
      <c r="J606" s="29">
        <v>39.49937596779781</v>
      </c>
      <c r="K606" s="29">
        <v>56.705204620742592</v>
      </c>
      <c r="L606" s="30">
        <v>0</v>
      </c>
      <c r="M606" s="30">
        <v>0</v>
      </c>
    </row>
    <row r="607" spans="2:13" x14ac:dyDescent="0.25">
      <c r="B607" s="27">
        <v>604</v>
      </c>
      <c r="C607" s="29">
        <v>58.784673684117124</v>
      </c>
      <c r="D607" s="29">
        <v>79.481252932461828</v>
      </c>
      <c r="E607" s="29">
        <v>0</v>
      </c>
      <c r="F607" s="29">
        <v>49.127324938887575</v>
      </c>
      <c r="G607" s="29">
        <v>46.388505548593635</v>
      </c>
      <c r="H607" s="29">
        <v>43.259421059675134</v>
      </c>
      <c r="I607" s="29">
        <v>27.738794928105527</v>
      </c>
      <c r="J607" s="29">
        <v>0</v>
      </c>
      <c r="K607" s="29">
        <v>44.561788801233924</v>
      </c>
      <c r="L607" s="30">
        <v>0</v>
      </c>
      <c r="M607" s="30">
        <v>0</v>
      </c>
    </row>
    <row r="608" spans="2:13" x14ac:dyDescent="0.25">
      <c r="B608" s="27">
        <v>605</v>
      </c>
      <c r="C608" s="29">
        <v>67.809564078038633</v>
      </c>
      <c r="D608" s="29">
        <v>83.893078744126257</v>
      </c>
      <c r="E608" s="29">
        <v>142.37704860359185</v>
      </c>
      <c r="F608" s="29">
        <v>45.586937488754515</v>
      </c>
      <c r="G608" s="29">
        <v>0</v>
      </c>
      <c r="H608" s="29">
        <v>0</v>
      </c>
      <c r="I608" s="29">
        <v>0</v>
      </c>
      <c r="J608" s="29">
        <v>63.458413147503933</v>
      </c>
      <c r="K608" s="29">
        <v>0</v>
      </c>
      <c r="L608" s="30">
        <v>50.976690304514207</v>
      </c>
      <c r="M608" s="30">
        <v>0</v>
      </c>
    </row>
    <row r="609" spans="2:13" x14ac:dyDescent="0.25">
      <c r="B609" s="27">
        <v>606</v>
      </c>
      <c r="C609" s="29">
        <v>27.733459868042875</v>
      </c>
      <c r="D609" s="29">
        <v>70.654559572104347</v>
      </c>
      <c r="E609" s="29">
        <v>84.527612796094971</v>
      </c>
      <c r="F609" s="29">
        <v>24.60243120980266</v>
      </c>
      <c r="G609" s="29">
        <v>0</v>
      </c>
      <c r="H609" s="29">
        <v>0</v>
      </c>
      <c r="I609" s="29">
        <v>35.622519718488832</v>
      </c>
      <c r="J609" s="29">
        <v>48.343266298590713</v>
      </c>
      <c r="K609" s="29">
        <v>52.816590317726579</v>
      </c>
      <c r="L609" s="30">
        <v>0</v>
      </c>
      <c r="M609" s="30">
        <v>0</v>
      </c>
    </row>
    <row r="610" spans="2:13" x14ac:dyDescent="0.25">
      <c r="B610" s="27">
        <v>607</v>
      </c>
      <c r="C610" s="29">
        <v>39.016941529289795</v>
      </c>
      <c r="D610" s="29">
        <v>91.253979474346608</v>
      </c>
      <c r="E610" s="29">
        <v>0</v>
      </c>
      <c r="F610" s="29">
        <v>37.369943371638414</v>
      </c>
      <c r="G610" s="29">
        <v>0</v>
      </c>
      <c r="H610" s="29">
        <v>0</v>
      </c>
      <c r="I610" s="29">
        <v>0</v>
      </c>
      <c r="J610" s="29">
        <v>0</v>
      </c>
      <c r="K610" s="29">
        <v>0</v>
      </c>
      <c r="L610" s="30">
        <v>0</v>
      </c>
      <c r="M610" s="30">
        <v>0</v>
      </c>
    </row>
    <row r="611" spans="2:13" x14ac:dyDescent="0.25">
      <c r="B611" s="27">
        <v>608</v>
      </c>
      <c r="C611" s="29">
        <v>54.051257853373691</v>
      </c>
      <c r="D611" s="29">
        <v>73.733906674490527</v>
      </c>
      <c r="E611" s="29">
        <v>103.5217391466328</v>
      </c>
      <c r="F611" s="29">
        <v>0</v>
      </c>
      <c r="G611" s="29">
        <v>0</v>
      </c>
      <c r="H611" s="29">
        <v>0</v>
      </c>
      <c r="I611" s="29">
        <v>0</v>
      </c>
      <c r="J611" s="29">
        <v>0</v>
      </c>
      <c r="K611" s="29">
        <v>42.256874011927124</v>
      </c>
      <c r="L611" s="30">
        <v>0</v>
      </c>
      <c r="M611" s="30">
        <v>0</v>
      </c>
    </row>
    <row r="612" spans="2:13" x14ac:dyDescent="0.25">
      <c r="B612" s="27">
        <v>609</v>
      </c>
      <c r="C612" s="29">
        <v>59.045424007171974</v>
      </c>
      <c r="D612" s="29">
        <v>68.513779239396044</v>
      </c>
      <c r="E612" s="29">
        <v>0</v>
      </c>
      <c r="F612" s="29">
        <v>48.704505622679775</v>
      </c>
      <c r="G612" s="29">
        <v>0</v>
      </c>
      <c r="H612" s="29">
        <v>0</v>
      </c>
      <c r="I612" s="29">
        <v>59.64547530966059</v>
      </c>
      <c r="J612" s="29">
        <v>0</v>
      </c>
      <c r="K612" s="29">
        <v>0</v>
      </c>
      <c r="L612" s="30">
        <v>0</v>
      </c>
      <c r="M612" s="30">
        <v>0</v>
      </c>
    </row>
    <row r="613" spans="2:13" x14ac:dyDescent="0.25">
      <c r="B613" s="27">
        <v>610</v>
      </c>
      <c r="C613" s="29">
        <v>49.536900113972713</v>
      </c>
      <c r="D613" s="29">
        <v>72.635597131005412</v>
      </c>
      <c r="E613" s="29">
        <v>88.436922300424214</v>
      </c>
      <c r="F613" s="29">
        <v>36.228519378338568</v>
      </c>
      <c r="G613" s="29">
        <v>0</v>
      </c>
      <c r="H613" s="29">
        <v>0</v>
      </c>
      <c r="I613" s="29">
        <v>35.904197975259706</v>
      </c>
      <c r="J613" s="29">
        <v>27.893238156850231</v>
      </c>
      <c r="K613" s="29">
        <v>51.737776200583404</v>
      </c>
      <c r="L613" s="30">
        <v>0</v>
      </c>
      <c r="M613" s="30">
        <v>0</v>
      </c>
    </row>
    <row r="614" spans="2:13" x14ac:dyDescent="0.25">
      <c r="B614" s="27">
        <v>611</v>
      </c>
      <c r="C614" s="29">
        <v>16.570509596746543</v>
      </c>
      <c r="D614" s="29">
        <v>62.56396613773623</v>
      </c>
      <c r="E614" s="29">
        <v>0</v>
      </c>
      <c r="F614" s="29">
        <v>54.130575915420387</v>
      </c>
      <c r="G614" s="29">
        <v>0</v>
      </c>
      <c r="H614" s="29">
        <v>42.17567938460553</v>
      </c>
      <c r="I614" s="29">
        <v>65.968602643824951</v>
      </c>
      <c r="J614" s="29">
        <v>0</v>
      </c>
      <c r="K614" s="29">
        <v>32.022855044473346</v>
      </c>
      <c r="L614" s="30">
        <v>0</v>
      </c>
      <c r="M614" s="30">
        <v>0</v>
      </c>
    </row>
    <row r="615" spans="2:13" x14ac:dyDescent="0.25">
      <c r="B615" s="27">
        <v>612</v>
      </c>
      <c r="C615" s="29">
        <v>27.842625460392362</v>
      </c>
      <c r="D615" s="29">
        <v>71.477211318944555</v>
      </c>
      <c r="E615" s="29">
        <v>0</v>
      </c>
      <c r="F615" s="29">
        <v>68.4356086075137</v>
      </c>
      <c r="G615" s="29">
        <v>0</v>
      </c>
      <c r="H615" s="29">
        <v>50.608229087158122</v>
      </c>
      <c r="I615" s="29">
        <v>0</v>
      </c>
      <c r="J615" s="29">
        <v>41.263431825797312</v>
      </c>
      <c r="K615" s="29">
        <v>46.490440702538734</v>
      </c>
      <c r="L615" s="30">
        <v>0</v>
      </c>
      <c r="M615" s="30">
        <v>0</v>
      </c>
    </row>
    <row r="616" spans="2:13" x14ac:dyDescent="0.25">
      <c r="B616" s="27">
        <v>613</v>
      </c>
      <c r="C616" s="29">
        <v>27.523667081066321</v>
      </c>
      <c r="D616" s="29">
        <v>72.697989048611504</v>
      </c>
      <c r="E616" s="29">
        <v>63.265895532755771</v>
      </c>
      <c r="F616" s="29">
        <v>28.08545221032821</v>
      </c>
      <c r="G616" s="29">
        <v>0</v>
      </c>
      <c r="H616" s="29">
        <v>51.115307076351868</v>
      </c>
      <c r="I616" s="29">
        <v>0</v>
      </c>
      <c r="J616" s="29">
        <v>0</v>
      </c>
      <c r="K616" s="29">
        <v>11.754408879448084</v>
      </c>
      <c r="L616" s="30">
        <v>0</v>
      </c>
      <c r="M616" s="30">
        <v>0</v>
      </c>
    </row>
    <row r="617" spans="2:13" x14ac:dyDescent="0.25">
      <c r="B617" s="27">
        <v>614</v>
      </c>
      <c r="C617" s="29">
        <v>28.101929366082434</v>
      </c>
      <c r="D617" s="29">
        <v>96.41692750933808</v>
      </c>
      <c r="E617" s="29">
        <v>0</v>
      </c>
      <c r="F617" s="29">
        <v>18.510171180398942</v>
      </c>
      <c r="G617" s="29">
        <v>0</v>
      </c>
      <c r="H617" s="29">
        <v>0</v>
      </c>
      <c r="I617" s="29">
        <v>27.118051158778009</v>
      </c>
      <c r="J617" s="29">
        <v>0</v>
      </c>
      <c r="K617" s="29">
        <v>0</v>
      </c>
      <c r="L617" s="30">
        <v>0</v>
      </c>
      <c r="M617" s="30">
        <v>0</v>
      </c>
    </row>
    <row r="618" spans="2:13" x14ac:dyDescent="0.25">
      <c r="B618" s="27">
        <v>615</v>
      </c>
      <c r="C618" s="29">
        <v>36.429367684617318</v>
      </c>
      <c r="D618" s="29">
        <v>74.123775441907384</v>
      </c>
      <c r="E618" s="29">
        <v>0</v>
      </c>
      <c r="F618" s="29">
        <v>66.355757811327294</v>
      </c>
      <c r="G618" s="29">
        <v>0</v>
      </c>
      <c r="H618" s="29">
        <v>0</v>
      </c>
      <c r="I618" s="29">
        <v>52.372574184992288</v>
      </c>
      <c r="J618" s="29">
        <v>46.570133229425842</v>
      </c>
      <c r="K618" s="29">
        <v>25.439572111222304</v>
      </c>
      <c r="L618" s="30">
        <v>0</v>
      </c>
      <c r="M618" s="30">
        <v>0</v>
      </c>
    </row>
    <row r="619" spans="2:13" x14ac:dyDescent="0.25">
      <c r="B619" s="27">
        <v>616</v>
      </c>
      <c r="C619" s="29">
        <v>51.80553892992841</v>
      </c>
      <c r="D619" s="29">
        <v>68.255915724868444</v>
      </c>
      <c r="E619" s="29">
        <v>93.352225395373722</v>
      </c>
      <c r="F619" s="29">
        <v>45.067184830316997</v>
      </c>
      <c r="G619" s="29">
        <v>0</v>
      </c>
      <c r="H619" s="29">
        <v>0</v>
      </c>
      <c r="I619" s="29">
        <v>37.082427600203687</v>
      </c>
      <c r="J619" s="29">
        <v>40.234503004277855</v>
      </c>
      <c r="K619" s="29">
        <v>0</v>
      </c>
      <c r="L619" s="30">
        <v>0</v>
      </c>
      <c r="M619" s="30">
        <v>0</v>
      </c>
    </row>
    <row r="620" spans="2:13" x14ac:dyDescent="0.25">
      <c r="B620" s="27">
        <v>617</v>
      </c>
      <c r="C620" s="29">
        <v>46.935948787536695</v>
      </c>
      <c r="D620" s="29">
        <v>67.935073704509065</v>
      </c>
      <c r="E620" s="29">
        <v>0</v>
      </c>
      <c r="F620" s="29">
        <v>36.325012444460967</v>
      </c>
      <c r="G620" s="29">
        <v>0</v>
      </c>
      <c r="H620" s="29">
        <v>28.518102837489884</v>
      </c>
      <c r="I620" s="29">
        <v>42.184042014521054</v>
      </c>
      <c r="J620" s="29">
        <v>0</v>
      </c>
      <c r="K620" s="29">
        <v>58.648046432152597</v>
      </c>
      <c r="L620" s="30">
        <v>0</v>
      </c>
      <c r="M620" s="30">
        <v>0</v>
      </c>
    </row>
    <row r="621" spans="2:13" x14ac:dyDescent="0.25">
      <c r="B621" s="27">
        <v>618</v>
      </c>
      <c r="C621" s="29">
        <v>62.784886451568489</v>
      </c>
      <c r="D621" s="29">
        <v>0</v>
      </c>
      <c r="E621" s="29">
        <v>0</v>
      </c>
      <c r="F621" s="29">
        <v>44.076754601218909</v>
      </c>
      <c r="G621" s="29">
        <v>0</v>
      </c>
      <c r="H621" s="29">
        <v>0</v>
      </c>
      <c r="I621" s="29">
        <v>0</v>
      </c>
      <c r="J621" s="29">
        <v>0</v>
      </c>
      <c r="K621" s="29">
        <v>64.750201569590374</v>
      </c>
      <c r="L621" s="30">
        <v>0</v>
      </c>
      <c r="M621" s="30">
        <v>0</v>
      </c>
    </row>
    <row r="622" spans="2:13" x14ac:dyDescent="0.25">
      <c r="B622" s="27">
        <v>619</v>
      </c>
      <c r="C622" s="29">
        <v>17.1506943439935</v>
      </c>
      <c r="D622" s="29">
        <v>64.347085787218987</v>
      </c>
      <c r="E622" s="29">
        <v>103.6554589250549</v>
      </c>
      <c r="F622" s="29">
        <v>35.144660374610162</v>
      </c>
      <c r="G622" s="29">
        <v>0</v>
      </c>
      <c r="H622" s="29">
        <v>0</v>
      </c>
      <c r="I622" s="29">
        <v>0</v>
      </c>
      <c r="J622" s="29">
        <v>0</v>
      </c>
      <c r="K622" s="29">
        <v>0</v>
      </c>
      <c r="L622" s="30">
        <v>0</v>
      </c>
      <c r="M622" s="30">
        <v>0</v>
      </c>
    </row>
    <row r="623" spans="2:13" x14ac:dyDescent="0.25">
      <c r="B623" s="27">
        <v>620</v>
      </c>
      <c r="C623" s="29">
        <v>58.783007515577921</v>
      </c>
      <c r="D623" s="29">
        <v>55.313877772397937</v>
      </c>
      <c r="E623" s="29">
        <v>67.93355831332903</v>
      </c>
      <c r="F623" s="29">
        <v>54.251702082261083</v>
      </c>
      <c r="G623" s="29">
        <v>0</v>
      </c>
      <c r="H623" s="29">
        <v>34.351781936513362</v>
      </c>
      <c r="I623" s="29">
        <v>0</v>
      </c>
      <c r="J623" s="29">
        <v>0</v>
      </c>
      <c r="K623" s="29">
        <v>37.596977549857897</v>
      </c>
      <c r="L623" s="30">
        <v>0</v>
      </c>
      <c r="M623" s="30">
        <v>0</v>
      </c>
    </row>
    <row r="624" spans="2:13" x14ac:dyDescent="0.25">
      <c r="B624" s="27">
        <v>621</v>
      </c>
      <c r="C624" s="29">
        <v>48.255485303071865</v>
      </c>
      <c r="D624" s="29">
        <v>97.234643822802511</v>
      </c>
      <c r="E624" s="29">
        <v>113.66184345839319</v>
      </c>
      <c r="F624" s="29">
        <v>33.964552276892853</v>
      </c>
      <c r="G624" s="29">
        <v>0</v>
      </c>
      <c r="H624" s="29">
        <v>0</v>
      </c>
      <c r="I624" s="29">
        <v>0</v>
      </c>
      <c r="J624" s="29">
        <v>0</v>
      </c>
      <c r="K624" s="29">
        <v>43.606781355529641</v>
      </c>
      <c r="L624" s="30">
        <v>0</v>
      </c>
      <c r="M624" s="30">
        <v>0</v>
      </c>
    </row>
    <row r="625" spans="2:13" x14ac:dyDescent="0.25">
      <c r="B625" s="27">
        <v>622</v>
      </c>
      <c r="C625" s="29">
        <v>16.667069221800343</v>
      </c>
      <c r="D625" s="29">
        <v>65.783836407583664</v>
      </c>
      <c r="E625" s="29">
        <v>100.66959975149379</v>
      </c>
      <c r="F625" s="29">
        <v>53.283186431982742</v>
      </c>
      <c r="G625" s="29">
        <v>0</v>
      </c>
      <c r="H625" s="29">
        <v>38.930810717416151</v>
      </c>
      <c r="I625" s="29">
        <v>0</v>
      </c>
      <c r="J625" s="29">
        <v>0</v>
      </c>
      <c r="K625" s="29">
        <v>0</v>
      </c>
      <c r="L625" s="30">
        <v>0</v>
      </c>
      <c r="M625" s="30">
        <v>0</v>
      </c>
    </row>
    <row r="626" spans="2:13" x14ac:dyDescent="0.25">
      <c r="B626" s="27">
        <v>623</v>
      </c>
      <c r="C626" s="29">
        <v>49.018497800698697</v>
      </c>
      <c r="D626" s="29">
        <v>96.297090501474656</v>
      </c>
      <c r="E626" s="29">
        <v>100.15587077280196</v>
      </c>
      <c r="F626" s="29">
        <v>46.086860687295605</v>
      </c>
      <c r="G626" s="29">
        <v>0</v>
      </c>
      <c r="H626" s="29">
        <v>0</v>
      </c>
      <c r="I626" s="29">
        <v>51.206428938979727</v>
      </c>
      <c r="J626" s="29">
        <v>0</v>
      </c>
      <c r="K626" s="29">
        <v>0</v>
      </c>
      <c r="L626" s="30">
        <v>14.540639493634757</v>
      </c>
      <c r="M626" s="30">
        <v>0</v>
      </c>
    </row>
    <row r="627" spans="2:13" x14ac:dyDescent="0.25">
      <c r="B627" s="27">
        <v>624</v>
      </c>
      <c r="C627" s="29">
        <v>20.372987969947154</v>
      </c>
      <c r="D627" s="29">
        <v>0</v>
      </c>
      <c r="E627" s="29">
        <v>127.67410857116249</v>
      </c>
      <c r="F627" s="29">
        <v>52.051255829595135</v>
      </c>
      <c r="G627" s="29">
        <v>0</v>
      </c>
      <c r="H627" s="29">
        <v>0</v>
      </c>
      <c r="I627" s="29">
        <v>36.114806630360427</v>
      </c>
      <c r="J627" s="29">
        <v>0</v>
      </c>
      <c r="K627" s="29">
        <v>0</v>
      </c>
      <c r="L627" s="30">
        <v>0</v>
      </c>
      <c r="M627" s="30">
        <v>0</v>
      </c>
    </row>
    <row r="628" spans="2:13" x14ac:dyDescent="0.25">
      <c r="B628" s="27">
        <v>625</v>
      </c>
      <c r="C628" s="29">
        <v>66.793009470011228</v>
      </c>
      <c r="D628" s="29">
        <v>93.006324357055433</v>
      </c>
      <c r="E628" s="29">
        <v>0</v>
      </c>
      <c r="F628" s="29">
        <v>44.630289679447927</v>
      </c>
      <c r="G628" s="29">
        <v>51.139640743571029</v>
      </c>
      <c r="H628" s="29">
        <v>0</v>
      </c>
      <c r="I628" s="29">
        <v>0</v>
      </c>
      <c r="J628" s="29">
        <v>0</v>
      </c>
      <c r="K628" s="29">
        <v>46.158433259816157</v>
      </c>
      <c r="L628" s="30">
        <v>0</v>
      </c>
      <c r="M628" s="30">
        <v>0</v>
      </c>
    </row>
    <row r="629" spans="2:13" x14ac:dyDescent="0.25">
      <c r="B629" s="27">
        <v>626</v>
      </c>
      <c r="C629" s="29">
        <v>0</v>
      </c>
      <c r="D629" s="29">
        <v>63.618111343347621</v>
      </c>
      <c r="E629" s="29">
        <v>75.890794645525503</v>
      </c>
      <c r="F629" s="29">
        <v>15.555774424725694</v>
      </c>
      <c r="G629" s="29">
        <v>0</v>
      </c>
      <c r="H629" s="29">
        <v>0</v>
      </c>
      <c r="I629" s="29">
        <v>0</v>
      </c>
      <c r="J629" s="29">
        <v>0</v>
      </c>
      <c r="K629" s="29">
        <v>0</v>
      </c>
      <c r="L629" s="30">
        <v>0</v>
      </c>
      <c r="M629" s="30">
        <v>0</v>
      </c>
    </row>
    <row r="630" spans="2:13" x14ac:dyDescent="0.25">
      <c r="B630" s="27">
        <v>627</v>
      </c>
      <c r="C630" s="29">
        <v>56.282631604149685</v>
      </c>
      <c r="D630" s="29">
        <v>81.422421714640322</v>
      </c>
      <c r="E630" s="29">
        <v>86.201884690608921</v>
      </c>
      <c r="F630" s="29">
        <v>42.379065544228688</v>
      </c>
      <c r="G630" s="29">
        <v>0</v>
      </c>
      <c r="H630" s="29">
        <v>0</v>
      </c>
      <c r="I630" s="29">
        <v>0</v>
      </c>
      <c r="J630" s="29">
        <v>38.77172890648356</v>
      </c>
      <c r="K630" s="29">
        <v>0</v>
      </c>
      <c r="L630" s="30">
        <v>0</v>
      </c>
      <c r="M630" s="30">
        <v>0</v>
      </c>
    </row>
    <row r="631" spans="2:13" x14ac:dyDescent="0.25">
      <c r="B631" s="27">
        <v>628</v>
      </c>
      <c r="C631" s="29">
        <v>45.376650896954253</v>
      </c>
      <c r="D631" s="29">
        <v>65.502710276880819</v>
      </c>
      <c r="E631" s="29">
        <v>94.431857807286875</v>
      </c>
      <c r="F631" s="29">
        <v>61.332775906854856</v>
      </c>
      <c r="G631" s="29">
        <v>0</v>
      </c>
      <c r="H631" s="29">
        <v>0</v>
      </c>
      <c r="I631" s="29">
        <v>50.499694215426757</v>
      </c>
      <c r="J631" s="29">
        <v>49.801079384753699</v>
      </c>
      <c r="K631" s="29">
        <v>0</v>
      </c>
      <c r="L631" s="30">
        <v>0</v>
      </c>
      <c r="M631" s="30">
        <v>0</v>
      </c>
    </row>
    <row r="632" spans="2:13" x14ac:dyDescent="0.25">
      <c r="B632" s="27">
        <v>629</v>
      </c>
      <c r="C632" s="29">
        <v>34.534664001929428</v>
      </c>
      <c r="D632" s="29">
        <v>80.26680597339292</v>
      </c>
      <c r="E632" s="29">
        <v>111.34533266788756</v>
      </c>
      <c r="F632" s="29">
        <v>0</v>
      </c>
      <c r="G632" s="29">
        <v>38.13820069841718</v>
      </c>
      <c r="H632" s="29">
        <v>0</v>
      </c>
      <c r="I632" s="29">
        <v>24.182561968598019</v>
      </c>
      <c r="J632" s="29">
        <v>0</v>
      </c>
      <c r="K632" s="29">
        <v>35.011572404144459</v>
      </c>
      <c r="L632" s="30">
        <v>0</v>
      </c>
      <c r="M632" s="30">
        <v>0</v>
      </c>
    </row>
    <row r="633" spans="2:13" x14ac:dyDescent="0.25">
      <c r="B633" s="27">
        <v>630</v>
      </c>
      <c r="C633" s="29">
        <v>29.166133853808304</v>
      </c>
      <c r="D633" s="29">
        <v>70.741520171890215</v>
      </c>
      <c r="E633" s="29">
        <v>82.070393240642261</v>
      </c>
      <c r="F633" s="29">
        <v>39.882958428121555</v>
      </c>
      <c r="G633" s="29">
        <v>0</v>
      </c>
      <c r="H633" s="29">
        <v>0</v>
      </c>
      <c r="I633" s="29">
        <v>0</v>
      </c>
      <c r="J633" s="29">
        <v>0</v>
      </c>
      <c r="K633" s="29">
        <v>46.709732481289343</v>
      </c>
      <c r="L633" s="30">
        <v>53.199771565993473</v>
      </c>
      <c r="M633" s="30">
        <v>0</v>
      </c>
    </row>
    <row r="634" spans="2:13" x14ac:dyDescent="0.25">
      <c r="B634" s="27">
        <v>631</v>
      </c>
      <c r="C634" s="29">
        <v>35.711317012967918</v>
      </c>
      <c r="D634" s="29">
        <v>91.139514355024602</v>
      </c>
      <c r="E634" s="29">
        <v>77.938782817808786</v>
      </c>
      <c r="F634" s="29">
        <v>0</v>
      </c>
      <c r="G634" s="29">
        <v>0</v>
      </c>
      <c r="H634" s="29">
        <v>0</v>
      </c>
      <c r="I634" s="29">
        <v>51.389118094213885</v>
      </c>
      <c r="J634" s="29">
        <v>0</v>
      </c>
      <c r="K634" s="29">
        <v>60.75219600080198</v>
      </c>
      <c r="L634" s="30">
        <v>33.898365593767394</v>
      </c>
      <c r="M634" s="30">
        <v>0</v>
      </c>
    </row>
    <row r="635" spans="2:13" x14ac:dyDescent="0.25">
      <c r="B635" s="27">
        <v>632</v>
      </c>
      <c r="C635" s="29">
        <v>41.091309562526348</v>
      </c>
      <c r="D635" s="29">
        <v>89.518233084188708</v>
      </c>
      <c r="E635" s="29">
        <v>0</v>
      </c>
      <c r="F635" s="29">
        <v>48.522981519303094</v>
      </c>
      <c r="G635" s="29">
        <v>0</v>
      </c>
      <c r="H635" s="29">
        <v>0</v>
      </c>
      <c r="I635" s="29">
        <v>0</v>
      </c>
      <c r="J635" s="29">
        <v>0</v>
      </c>
      <c r="K635" s="29">
        <v>18.936771779967088</v>
      </c>
      <c r="L635" s="30">
        <v>0</v>
      </c>
      <c r="M635" s="30">
        <v>0</v>
      </c>
    </row>
    <row r="636" spans="2:13" x14ac:dyDescent="0.25">
      <c r="B636" s="27">
        <v>633</v>
      </c>
      <c r="C636" s="29">
        <v>25.564832402037744</v>
      </c>
      <c r="D636" s="29">
        <v>72.89654855655516</v>
      </c>
      <c r="E636" s="29">
        <v>118.22188036921656</v>
      </c>
      <c r="F636" s="29">
        <v>46.787543116745681</v>
      </c>
      <c r="G636" s="29">
        <v>0</v>
      </c>
      <c r="H636" s="29">
        <v>0</v>
      </c>
      <c r="I636" s="29">
        <v>0</v>
      </c>
      <c r="J636" s="29">
        <v>47.330138952346715</v>
      </c>
      <c r="K636" s="29">
        <v>61.82191632905861</v>
      </c>
      <c r="L636" s="30">
        <v>0</v>
      </c>
      <c r="M636" s="30">
        <v>0</v>
      </c>
    </row>
    <row r="637" spans="2:13" x14ac:dyDescent="0.25">
      <c r="B637" s="27">
        <v>634</v>
      </c>
      <c r="C637" s="29">
        <v>57.097109763774142</v>
      </c>
      <c r="D637" s="29">
        <v>0</v>
      </c>
      <c r="E637" s="29">
        <v>124.76107395370425</v>
      </c>
      <c r="F637" s="29">
        <v>44.911040219153591</v>
      </c>
      <c r="G637" s="29">
        <v>0</v>
      </c>
      <c r="H637" s="29">
        <v>0</v>
      </c>
      <c r="I637" s="29">
        <v>0</v>
      </c>
      <c r="J637" s="29">
        <v>26.804121781303056</v>
      </c>
      <c r="K637" s="29">
        <v>28.743010459328989</v>
      </c>
      <c r="L637" s="30">
        <v>0</v>
      </c>
      <c r="M637" s="30">
        <v>0</v>
      </c>
    </row>
    <row r="638" spans="2:13" x14ac:dyDescent="0.25">
      <c r="B638" s="27">
        <v>635</v>
      </c>
      <c r="C638" s="29">
        <v>47.321955225657348</v>
      </c>
      <c r="D638" s="29">
        <v>58.082467919788108</v>
      </c>
      <c r="E638" s="29">
        <v>0</v>
      </c>
      <c r="F638" s="29">
        <v>55.524024944778979</v>
      </c>
      <c r="G638" s="29">
        <v>0</v>
      </c>
      <c r="H638" s="29">
        <v>0</v>
      </c>
      <c r="I638" s="29">
        <v>0</v>
      </c>
      <c r="J638" s="29">
        <v>0</v>
      </c>
      <c r="K638" s="29">
        <v>0</v>
      </c>
      <c r="L638" s="30">
        <v>0</v>
      </c>
      <c r="M638" s="30">
        <v>0</v>
      </c>
    </row>
    <row r="639" spans="2:13" x14ac:dyDescent="0.25">
      <c r="B639" s="27">
        <v>636</v>
      </c>
      <c r="C639" s="29">
        <v>35.374608088688724</v>
      </c>
      <c r="D639" s="29">
        <v>0</v>
      </c>
      <c r="E639" s="29">
        <v>74.108232658578316</v>
      </c>
      <c r="F639" s="29">
        <v>57.783889340973211</v>
      </c>
      <c r="G639" s="29">
        <v>0</v>
      </c>
      <c r="H639" s="29">
        <v>0</v>
      </c>
      <c r="I639" s="29">
        <v>56.381710951934181</v>
      </c>
      <c r="J639" s="29">
        <v>0</v>
      </c>
      <c r="K639" s="29">
        <v>50.949188588497847</v>
      </c>
      <c r="L639" s="30">
        <v>0</v>
      </c>
      <c r="M639" s="30">
        <v>0</v>
      </c>
    </row>
    <row r="640" spans="2:13" x14ac:dyDescent="0.25">
      <c r="B640" s="27">
        <v>637</v>
      </c>
      <c r="C640" s="29">
        <v>21.756164550508089</v>
      </c>
      <c r="D640" s="29">
        <v>0</v>
      </c>
      <c r="E640" s="29">
        <v>75.639487686792918</v>
      </c>
      <c r="F640" s="29">
        <v>0</v>
      </c>
      <c r="G640" s="29">
        <v>0</v>
      </c>
      <c r="H640" s="29">
        <v>45.316235711075755</v>
      </c>
      <c r="I640" s="29">
        <v>60.824602757186454</v>
      </c>
      <c r="J640" s="29">
        <v>0</v>
      </c>
      <c r="K640" s="29">
        <v>58.960476542700917</v>
      </c>
      <c r="L640" s="30">
        <v>0</v>
      </c>
      <c r="M640" s="30">
        <v>0</v>
      </c>
    </row>
    <row r="641" spans="2:13" x14ac:dyDescent="0.25">
      <c r="B641" s="27">
        <v>638</v>
      </c>
      <c r="C641" s="29">
        <v>23.938713218489042</v>
      </c>
      <c r="D641" s="29">
        <v>66.867006221844647</v>
      </c>
      <c r="E641" s="29">
        <v>86.705009197413887</v>
      </c>
      <c r="F641" s="29">
        <v>50.804508536002587</v>
      </c>
      <c r="G641" s="29">
        <v>0</v>
      </c>
      <c r="H641" s="29">
        <v>0</v>
      </c>
      <c r="I641" s="29">
        <v>56.681290902412812</v>
      </c>
      <c r="J641" s="29">
        <v>0</v>
      </c>
      <c r="K641" s="29">
        <v>0</v>
      </c>
      <c r="L641" s="30">
        <v>0</v>
      </c>
      <c r="M641" s="30">
        <v>0</v>
      </c>
    </row>
    <row r="642" spans="2:13" x14ac:dyDescent="0.25">
      <c r="B642" s="27">
        <v>639</v>
      </c>
      <c r="C642" s="29">
        <v>43.62233001845059</v>
      </c>
      <c r="D642" s="29">
        <v>95.124409113939691</v>
      </c>
      <c r="E642" s="29">
        <v>0</v>
      </c>
      <c r="F642" s="29">
        <v>55.953412820629076</v>
      </c>
      <c r="G642" s="29">
        <v>0</v>
      </c>
      <c r="H642" s="29">
        <v>66.154133987171718</v>
      </c>
      <c r="I642" s="29">
        <v>0</v>
      </c>
      <c r="J642" s="29">
        <v>0</v>
      </c>
      <c r="K642" s="29">
        <v>54.088298895713592</v>
      </c>
      <c r="L642" s="30">
        <v>0</v>
      </c>
      <c r="M642" s="30">
        <v>0</v>
      </c>
    </row>
    <row r="643" spans="2:13" x14ac:dyDescent="0.25">
      <c r="B643" s="27">
        <v>640</v>
      </c>
      <c r="C643" s="29">
        <v>39.412188467617845</v>
      </c>
      <c r="D643" s="29">
        <v>67.148717503690392</v>
      </c>
      <c r="E643" s="29">
        <v>73.349351372527963</v>
      </c>
      <c r="F643" s="29">
        <v>36.201093571632427</v>
      </c>
      <c r="G643" s="29">
        <v>0</v>
      </c>
      <c r="H643" s="29">
        <v>0</v>
      </c>
      <c r="I643" s="29">
        <v>55.045718529139499</v>
      </c>
      <c r="J643" s="29">
        <v>0</v>
      </c>
      <c r="K643" s="29">
        <v>34.077133872056464</v>
      </c>
      <c r="L643" s="30">
        <v>32.034992820849553</v>
      </c>
      <c r="M643" s="30">
        <v>0</v>
      </c>
    </row>
    <row r="644" spans="2:13" x14ac:dyDescent="0.25">
      <c r="B644" s="27">
        <v>641</v>
      </c>
      <c r="C644" s="29">
        <v>58.093790830234184</v>
      </c>
      <c r="D644" s="29">
        <v>68.920017072490481</v>
      </c>
      <c r="E644" s="29">
        <v>104.56716410974589</v>
      </c>
      <c r="F644" s="29">
        <v>0</v>
      </c>
      <c r="G644" s="29">
        <v>0</v>
      </c>
      <c r="H644" s="29">
        <v>0</v>
      </c>
      <c r="I644" s="29">
        <v>46.997133623285158</v>
      </c>
      <c r="J644" s="29">
        <v>54.73189149902332</v>
      </c>
      <c r="K644" s="29">
        <v>35.394909448115897</v>
      </c>
      <c r="L644" s="30">
        <v>0</v>
      </c>
      <c r="M644" s="30">
        <v>0</v>
      </c>
    </row>
    <row r="645" spans="2:13" x14ac:dyDescent="0.25">
      <c r="B645" s="27">
        <v>642</v>
      </c>
      <c r="C645" s="29">
        <v>30.075683306163587</v>
      </c>
      <c r="D645" s="29">
        <v>93.172662361218315</v>
      </c>
      <c r="E645" s="29">
        <v>87.415412717300271</v>
      </c>
      <c r="F645" s="29">
        <v>60.199650533561446</v>
      </c>
      <c r="G645" s="29">
        <v>0</v>
      </c>
      <c r="H645" s="29">
        <v>0</v>
      </c>
      <c r="I645" s="29">
        <v>37.768161124023024</v>
      </c>
      <c r="J645" s="29">
        <v>0</v>
      </c>
      <c r="K645" s="29">
        <v>24.821333230865005</v>
      </c>
      <c r="L645" s="30">
        <v>24.113274961356929</v>
      </c>
      <c r="M645" s="30">
        <v>0</v>
      </c>
    </row>
    <row r="646" spans="2:13" x14ac:dyDescent="0.25">
      <c r="B646" s="27">
        <v>643</v>
      </c>
      <c r="C646" s="29">
        <v>39.035707126177826</v>
      </c>
      <c r="D646" s="29">
        <v>71.118133678080127</v>
      </c>
      <c r="E646" s="29">
        <v>81.949811809073225</v>
      </c>
      <c r="F646" s="29">
        <v>48.979608995521183</v>
      </c>
      <c r="G646" s="29">
        <v>0</v>
      </c>
      <c r="H646" s="29">
        <v>0</v>
      </c>
      <c r="I646" s="29">
        <v>51.300164051939014</v>
      </c>
      <c r="J646" s="29">
        <v>0</v>
      </c>
      <c r="K646" s="29">
        <v>60.902667581355288</v>
      </c>
      <c r="L646" s="30">
        <v>0</v>
      </c>
      <c r="M646" s="30">
        <v>0</v>
      </c>
    </row>
    <row r="647" spans="2:13" x14ac:dyDescent="0.25">
      <c r="B647" s="27">
        <v>644</v>
      </c>
      <c r="C647" s="29">
        <v>46.809664861338334</v>
      </c>
      <c r="D647" s="29">
        <v>0</v>
      </c>
      <c r="E647" s="29">
        <v>90.851745869409598</v>
      </c>
      <c r="F647" s="29">
        <v>0</v>
      </c>
      <c r="G647" s="29">
        <v>0</v>
      </c>
      <c r="H647" s="29">
        <v>46.833551119185401</v>
      </c>
      <c r="I647" s="29">
        <v>0</v>
      </c>
      <c r="J647" s="29">
        <v>0</v>
      </c>
      <c r="K647" s="29">
        <v>14.446814420958205</v>
      </c>
      <c r="L647" s="30">
        <v>0</v>
      </c>
      <c r="M647" s="30">
        <v>0</v>
      </c>
    </row>
    <row r="648" spans="2:13" x14ac:dyDescent="0.25">
      <c r="B648" s="27">
        <v>645</v>
      </c>
      <c r="C648" s="29">
        <v>61.544819734005493</v>
      </c>
      <c r="D648" s="29">
        <v>62.580953449161591</v>
      </c>
      <c r="E648" s="29">
        <v>0</v>
      </c>
      <c r="F648" s="29">
        <v>48.10661797775164</v>
      </c>
      <c r="G648" s="29">
        <v>0</v>
      </c>
      <c r="H648" s="29">
        <v>0</v>
      </c>
      <c r="I648" s="29">
        <v>0</v>
      </c>
      <c r="J648" s="29">
        <v>0</v>
      </c>
      <c r="K648" s="29">
        <v>46.138903811336391</v>
      </c>
      <c r="L648" s="30">
        <v>40.785886079461775</v>
      </c>
      <c r="M648" s="30">
        <v>0</v>
      </c>
    </row>
    <row r="649" spans="2:13" x14ac:dyDescent="0.25">
      <c r="B649" s="27">
        <v>646</v>
      </c>
      <c r="C649" s="29">
        <v>48.309619460278377</v>
      </c>
      <c r="D649" s="29">
        <v>59.566797384367533</v>
      </c>
      <c r="E649" s="29">
        <v>95.940434601616346</v>
      </c>
      <c r="F649" s="29">
        <v>58.619790810638563</v>
      </c>
      <c r="G649" s="29">
        <v>0</v>
      </c>
      <c r="H649" s="29">
        <v>0</v>
      </c>
      <c r="I649" s="29">
        <v>0</v>
      </c>
      <c r="J649" s="29">
        <v>0</v>
      </c>
      <c r="K649" s="29">
        <v>53.024619987065407</v>
      </c>
      <c r="L649" s="30">
        <v>0</v>
      </c>
      <c r="M649" s="30">
        <v>0</v>
      </c>
    </row>
    <row r="650" spans="2:13" x14ac:dyDescent="0.25">
      <c r="B650" s="27">
        <v>647</v>
      </c>
      <c r="C650" s="29">
        <v>25.029914300224046</v>
      </c>
      <c r="D650" s="29">
        <v>0</v>
      </c>
      <c r="E650" s="29">
        <v>83.586136631105305</v>
      </c>
      <c r="F650" s="29">
        <v>55.645625999471129</v>
      </c>
      <c r="G650" s="29">
        <v>0</v>
      </c>
      <c r="H650" s="29">
        <v>0</v>
      </c>
      <c r="I650" s="29">
        <v>0</v>
      </c>
      <c r="J650" s="29">
        <v>0</v>
      </c>
      <c r="K650" s="29">
        <v>45.058753324248549</v>
      </c>
      <c r="L650" s="30">
        <v>0</v>
      </c>
      <c r="M650" s="30">
        <v>0</v>
      </c>
    </row>
    <row r="651" spans="2:13" x14ac:dyDescent="0.25">
      <c r="B651" s="27">
        <v>648</v>
      </c>
      <c r="C651" s="29">
        <v>35.561093909302514</v>
      </c>
      <c r="D651" s="29">
        <v>73.613610941662984</v>
      </c>
      <c r="E651" s="29">
        <v>107.22815356927879</v>
      </c>
      <c r="F651" s="29">
        <v>47.293038288138646</v>
      </c>
      <c r="G651" s="29">
        <v>0</v>
      </c>
      <c r="H651" s="29">
        <v>32.03451709928467</v>
      </c>
      <c r="I651" s="29">
        <v>57.465794745786255</v>
      </c>
      <c r="J651" s="29">
        <v>0</v>
      </c>
      <c r="K651" s="29">
        <v>61.657860916854148</v>
      </c>
      <c r="L651" s="30">
        <v>0</v>
      </c>
      <c r="M651" s="30">
        <v>0</v>
      </c>
    </row>
    <row r="652" spans="2:13" x14ac:dyDescent="0.25">
      <c r="B652" s="27">
        <v>649</v>
      </c>
      <c r="C652" s="29">
        <v>28.55875838877073</v>
      </c>
      <c r="D652" s="29">
        <v>86.011027478074837</v>
      </c>
      <c r="E652" s="29">
        <v>127.56202487688329</v>
      </c>
      <c r="F652" s="29">
        <v>37.339931074450334</v>
      </c>
      <c r="G652" s="29">
        <v>0</v>
      </c>
      <c r="H652" s="29">
        <v>42.499093909770167</v>
      </c>
      <c r="I652" s="29">
        <v>0</v>
      </c>
      <c r="J652" s="29">
        <v>0</v>
      </c>
      <c r="K652" s="29">
        <v>43.235651279584438</v>
      </c>
      <c r="L652" s="30">
        <v>0</v>
      </c>
      <c r="M652" s="30">
        <v>0</v>
      </c>
    </row>
    <row r="653" spans="2:13" x14ac:dyDescent="0.25">
      <c r="B653" s="27">
        <v>650</v>
      </c>
      <c r="C653" s="29">
        <v>53.758292547940371</v>
      </c>
      <c r="D653" s="29">
        <v>81.377427900372183</v>
      </c>
      <c r="E653" s="29">
        <v>89.339419665560598</v>
      </c>
      <c r="F653" s="29">
        <v>29.610187733862841</v>
      </c>
      <c r="G653" s="29">
        <v>0</v>
      </c>
      <c r="H653" s="29">
        <v>0</v>
      </c>
      <c r="I653" s="29">
        <v>0</v>
      </c>
      <c r="J653" s="29">
        <v>0</v>
      </c>
      <c r="K653" s="29">
        <v>52.385455701583155</v>
      </c>
      <c r="L653" s="30">
        <v>0</v>
      </c>
      <c r="M653" s="30">
        <v>0</v>
      </c>
    </row>
    <row r="654" spans="2:13" x14ac:dyDescent="0.25">
      <c r="B654" s="27">
        <v>651</v>
      </c>
      <c r="C654" s="29">
        <v>62.598386530841267</v>
      </c>
      <c r="D654" s="29">
        <v>0</v>
      </c>
      <c r="E654" s="29">
        <v>0</v>
      </c>
      <c r="F654" s="29">
        <v>52.000846501942249</v>
      </c>
      <c r="G654" s="29">
        <v>0</v>
      </c>
      <c r="H654" s="29">
        <v>0</v>
      </c>
      <c r="I654" s="29">
        <v>48.316374120112449</v>
      </c>
      <c r="J654" s="29">
        <v>0</v>
      </c>
      <c r="K654" s="29">
        <v>23.649831736296527</v>
      </c>
      <c r="L654" s="30">
        <v>0</v>
      </c>
      <c r="M654" s="30">
        <v>0</v>
      </c>
    </row>
    <row r="655" spans="2:13" x14ac:dyDescent="0.25">
      <c r="B655" s="27">
        <v>652</v>
      </c>
      <c r="C655" s="29">
        <v>31.715317719842705</v>
      </c>
      <c r="D655" s="29">
        <v>66.692805352253657</v>
      </c>
      <c r="E655" s="29">
        <v>87.610668871463787</v>
      </c>
      <c r="F655" s="29">
        <v>0</v>
      </c>
      <c r="G655" s="29">
        <v>0</v>
      </c>
      <c r="H655" s="29">
        <v>0</v>
      </c>
      <c r="I655" s="29">
        <v>38.279623270009743</v>
      </c>
      <c r="J655" s="29">
        <v>45.091620357912994</v>
      </c>
      <c r="K655" s="29">
        <v>50.833857144508421</v>
      </c>
      <c r="L655" s="30">
        <v>0</v>
      </c>
      <c r="M655" s="30">
        <v>0</v>
      </c>
    </row>
    <row r="656" spans="2:13" x14ac:dyDescent="0.25">
      <c r="B656" s="27">
        <v>653</v>
      </c>
      <c r="C656" s="29">
        <v>32.134390764222204</v>
      </c>
      <c r="D656" s="29">
        <v>69.284566842930857</v>
      </c>
      <c r="E656" s="29">
        <v>0</v>
      </c>
      <c r="F656" s="29">
        <v>43.57773186526142</v>
      </c>
      <c r="G656" s="29">
        <v>0</v>
      </c>
      <c r="H656" s="29">
        <v>37.513208241219345</v>
      </c>
      <c r="I656" s="29">
        <v>0</v>
      </c>
      <c r="J656" s="29">
        <v>0</v>
      </c>
      <c r="K656" s="29">
        <v>25.446219277261726</v>
      </c>
      <c r="L656" s="30">
        <v>0</v>
      </c>
      <c r="M656" s="30">
        <v>0</v>
      </c>
    </row>
    <row r="657" spans="2:13" x14ac:dyDescent="0.25">
      <c r="B657" s="27">
        <v>654</v>
      </c>
      <c r="C657" s="29">
        <v>51.41763959151703</v>
      </c>
      <c r="D657" s="29">
        <v>79.40284137620867</v>
      </c>
      <c r="E657" s="29">
        <v>66.990657369549965</v>
      </c>
      <c r="F657" s="29">
        <v>0</v>
      </c>
      <c r="G657" s="29">
        <v>0</v>
      </c>
      <c r="H657" s="29">
        <v>0</v>
      </c>
      <c r="I657" s="29">
        <v>53.170134223053779</v>
      </c>
      <c r="J657" s="29">
        <v>0</v>
      </c>
      <c r="K657" s="29">
        <v>61.156005809928303</v>
      </c>
      <c r="L657" s="30">
        <v>0</v>
      </c>
      <c r="M657" s="30">
        <v>0</v>
      </c>
    </row>
    <row r="658" spans="2:13" x14ac:dyDescent="0.25">
      <c r="B658" s="27">
        <v>655</v>
      </c>
      <c r="C658" s="29">
        <v>43.629729381683383</v>
      </c>
      <c r="D658" s="29">
        <v>67.785049968098463</v>
      </c>
      <c r="E658" s="29">
        <v>120.94845046212275</v>
      </c>
      <c r="F658" s="29">
        <v>37.422147545994996</v>
      </c>
      <c r="G658" s="29">
        <v>0</v>
      </c>
      <c r="H658" s="29">
        <v>0</v>
      </c>
      <c r="I658" s="29">
        <v>0</v>
      </c>
      <c r="J658" s="29">
        <v>0</v>
      </c>
      <c r="K658" s="29">
        <v>49.139386719090915</v>
      </c>
      <c r="L658" s="30">
        <v>0</v>
      </c>
      <c r="M658" s="30">
        <v>0</v>
      </c>
    </row>
    <row r="659" spans="2:13" x14ac:dyDescent="0.25">
      <c r="B659" s="27">
        <v>656</v>
      </c>
      <c r="C659" s="29">
        <v>50.971607170188349</v>
      </c>
      <c r="D659" s="29">
        <v>76.124300420937203</v>
      </c>
      <c r="E659" s="29">
        <v>99.10411524550193</v>
      </c>
      <c r="F659" s="29">
        <v>37.301150874904252</v>
      </c>
      <c r="G659" s="29">
        <v>64.00782620722255</v>
      </c>
      <c r="H659" s="29">
        <v>0</v>
      </c>
      <c r="I659" s="29">
        <v>0</v>
      </c>
      <c r="J659" s="29">
        <v>0</v>
      </c>
      <c r="K659" s="29">
        <v>33.619108870828285</v>
      </c>
      <c r="L659" s="30">
        <v>0</v>
      </c>
      <c r="M659" s="30">
        <v>0</v>
      </c>
    </row>
    <row r="660" spans="2:13" x14ac:dyDescent="0.25">
      <c r="B660" s="27">
        <v>657</v>
      </c>
      <c r="C660" s="29">
        <v>49.831412020175129</v>
      </c>
      <c r="D660" s="29">
        <v>0</v>
      </c>
      <c r="E660" s="29">
        <v>147.41580722090447</v>
      </c>
      <c r="F660" s="29">
        <v>48.414627299059063</v>
      </c>
      <c r="G660" s="29">
        <v>0</v>
      </c>
      <c r="H660" s="29">
        <v>0</v>
      </c>
      <c r="I660" s="29">
        <v>57.195660658191699</v>
      </c>
      <c r="J660" s="29">
        <v>0</v>
      </c>
      <c r="K660" s="29">
        <v>0</v>
      </c>
      <c r="L660" s="30">
        <v>0</v>
      </c>
      <c r="M660" s="30">
        <v>0</v>
      </c>
    </row>
    <row r="661" spans="2:13" x14ac:dyDescent="0.25">
      <c r="B661" s="27">
        <v>658</v>
      </c>
      <c r="C661" s="29">
        <v>46.422668258344544</v>
      </c>
      <c r="D661" s="29">
        <v>88.750021675486678</v>
      </c>
      <c r="E661" s="29">
        <v>87.46593109817222</v>
      </c>
      <c r="F661" s="29">
        <v>40.744415900920124</v>
      </c>
      <c r="G661" s="29">
        <v>0</v>
      </c>
      <c r="H661" s="29">
        <v>0</v>
      </c>
      <c r="I661" s="29">
        <v>0</v>
      </c>
      <c r="J661" s="29">
        <v>0</v>
      </c>
      <c r="K661" s="29">
        <v>0</v>
      </c>
      <c r="L661" s="30">
        <v>0</v>
      </c>
      <c r="M661" s="30">
        <v>0</v>
      </c>
    </row>
    <row r="662" spans="2:13" x14ac:dyDescent="0.25">
      <c r="B662" s="27">
        <v>659</v>
      </c>
      <c r="C662" s="29">
        <v>57.336255000597127</v>
      </c>
      <c r="D662" s="29">
        <v>63.964587450926842</v>
      </c>
      <c r="E662" s="29">
        <v>0</v>
      </c>
      <c r="F662" s="29">
        <v>31.274063155311861</v>
      </c>
      <c r="G662" s="29">
        <v>0</v>
      </c>
      <c r="H662" s="29">
        <v>43.805041712932606</v>
      </c>
      <c r="I662" s="29">
        <v>58.305084443235586</v>
      </c>
      <c r="J662" s="29">
        <v>0</v>
      </c>
      <c r="K662" s="29">
        <v>0</v>
      </c>
      <c r="L662" s="30">
        <v>23.630556419027435</v>
      </c>
      <c r="M662" s="30">
        <v>0</v>
      </c>
    </row>
    <row r="663" spans="2:13" x14ac:dyDescent="0.25">
      <c r="B663" s="27">
        <v>660</v>
      </c>
      <c r="C663" s="29">
        <v>37.436738750422613</v>
      </c>
      <c r="D663" s="29">
        <v>80.778453965123518</v>
      </c>
      <c r="E663" s="29">
        <v>85.473750166097147</v>
      </c>
      <c r="F663" s="29">
        <v>46.247230925227548</v>
      </c>
      <c r="G663" s="29">
        <v>0</v>
      </c>
      <c r="H663" s="29">
        <v>0</v>
      </c>
      <c r="I663" s="29">
        <v>0</v>
      </c>
      <c r="J663" s="29">
        <v>24.26386150637725</v>
      </c>
      <c r="K663" s="29">
        <v>43.101998289997603</v>
      </c>
      <c r="L663" s="30">
        <v>0</v>
      </c>
      <c r="M663" s="30">
        <v>0</v>
      </c>
    </row>
    <row r="664" spans="2:13" x14ac:dyDescent="0.25">
      <c r="B664" s="27">
        <v>661</v>
      </c>
      <c r="C664" s="29">
        <v>18.093618706285501</v>
      </c>
      <c r="D664" s="29">
        <v>80.07589617805121</v>
      </c>
      <c r="E664" s="29">
        <v>0</v>
      </c>
      <c r="F664" s="29">
        <v>44.493813832712192</v>
      </c>
      <c r="G664" s="29">
        <v>52.779440324128863</v>
      </c>
      <c r="H664" s="29">
        <v>0</v>
      </c>
      <c r="I664" s="29">
        <v>43.732831862913677</v>
      </c>
      <c r="J664" s="29">
        <v>0</v>
      </c>
      <c r="K664" s="29">
        <v>47.767682200591871</v>
      </c>
      <c r="L664" s="30">
        <v>0</v>
      </c>
      <c r="M664" s="30">
        <v>0</v>
      </c>
    </row>
    <row r="665" spans="2:13" x14ac:dyDescent="0.25">
      <c r="B665" s="27">
        <v>662</v>
      </c>
      <c r="C665" s="29">
        <v>0</v>
      </c>
      <c r="D665" s="29">
        <v>66.843348197307193</v>
      </c>
      <c r="E665" s="29">
        <v>0</v>
      </c>
      <c r="F665" s="29">
        <v>25.310079480501997</v>
      </c>
      <c r="G665" s="29">
        <v>0</v>
      </c>
      <c r="H665" s="29">
        <v>0</v>
      </c>
      <c r="I665" s="29">
        <v>0</v>
      </c>
      <c r="J665" s="29">
        <v>0</v>
      </c>
      <c r="K665" s="29">
        <v>55.533795488340502</v>
      </c>
      <c r="L665" s="30">
        <v>0</v>
      </c>
      <c r="M665" s="30">
        <v>0</v>
      </c>
    </row>
    <row r="666" spans="2:13" x14ac:dyDescent="0.25">
      <c r="B666" s="27">
        <v>663</v>
      </c>
      <c r="C666" s="29">
        <v>34.566739245933107</v>
      </c>
      <c r="D666" s="29">
        <v>73.801218878080959</v>
      </c>
      <c r="E666" s="29">
        <v>114.4584829246302</v>
      </c>
      <c r="F666" s="29">
        <v>53.002785739876664</v>
      </c>
      <c r="G666" s="29">
        <v>0</v>
      </c>
      <c r="H666" s="29">
        <v>0</v>
      </c>
      <c r="I666" s="29">
        <v>21.384060790938939</v>
      </c>
      <c r="J666" s="29">
        <v>50.979240225033621</v>
      </c>
      <c r="K666" s="29">
        <v>65.80810981124344</v>
      </c>
      <c r="L666" s="30">
        <v>0</v>
      </c>
      <c r="M666" s="30">
        <v>0</v>
      </c>
    </row>
    <row r="667" spans="2:13" x14ac:dyDescent="0.25">
      <c r="B667" s="27">
        <v>664</v>
      </c>
      <c r="C667" s="29">
        <v>19.963126140774428</v>
      </c>
      <c r="D667" s="29">
        <v>77.257929821171217</v>
      </c>
      <c r="E667" s="29">
        <v>102.53964951223553</v>
      </c>
      <c r="F667" s="29">
        <v>39.831983399989255</v>
      </c>
      <c r="G667" s="29">
        <v>0</v>
      </c>
      <c r="H667" s="29">
        <v>0</v>
      </c>
      <c r="I667" s="29">
        <v>23.59323317996347</v>
      </c>
      <c r="J667" s="29">
        <v>0</v>
      </c>
      <c r="K667" s="29">
        <v>36.590408574628924</v>
      </c>
      <c r="L667" s="30">
        <v>0</v>
      </c>
      <c r="M667" s="30">
        <v>0</v>
      </c>
    </row>
    <row r="668" spans="2:13" x14ac:dyDescent="0.25">
      <c r="B668" s="27">
        <v>665</v>
      </c>
      <c r="C668" s="29">
        <v>48.828045484130044</v>
      </c>
      <c r="D668" s="29">
        <v>61.120686988734228</v>
      </c>
      <c r="E668" s="29">
        <v>0</v>
      </c>
      <c r="F668" s="29">
        <v>0</v>
      </c>
      <c r="G668" s="29">
        <v>0</v>
      </c>
      <c r="H668" s="29">
        <v>0</v>
      </c>
      <c r="I668" s="29">
        <v>28.028473998481221</v>
      </c>
      <c r="J668" s="29">
        <v>34.733477542033015</v>
      </c>
      <c r="K668" s="29">
        <v>0</v>
      </c>
      <c r="L668" s="30">
        <v>0</v>
      </c>
      <c r="M668" s="30">
        <v>0</v>
      </c>
    </row>
    <row r="669" spans="2:13" x14ac:dyDescent="0.25">
      <c r="B669" s="27">
        <v>666</v>
      </c>
      <c r="C669" s="29">
        <v>28.626157803176113</v>
      </c>
      <c r="D669" s="29">
        <v>84.887266643077709</v>
      </c>
      <c r="E669" s="29">
        <v>0</v>
      </c>
      <c r="F669" s="29">
        <v>51.884938149256385</v>
      </c>
      <c r="G669" s="29">
        <v>0</v>
      </c>
      <c r="H669" s="29">
        <v>32.383839965844111</v>
      </c>
      <c r="I669" s="29">
        <v>0</v>
      </c>
      <c r="J669" s="29">
        <v>0</v>
      </c>
      <c r="K669" s="29">
        <v>0</v>
      </c>
      <c r="L669" s="30">
        <v>0</v>
      </c>
      <c r="M669" s="30">
        <v>0</v>
      </c>
    </row>
    <row r="670" spans="2:13" x14ac:dyDescent="0.25">
      <c r="B670" s="27">
        <v>667</v>
      </c>
      <c r="C670" s="29">
        <v>51.773140343705734</v>
      </c>
      <c r="D670" s="29">
        <v>0</v>
      </c>
      <c r="E670" s="29">
        <v>110.18344698236523</v>
      </c>
      <c r="F670" s="29">
        <v>44.412944615229662</v>
      </c>
      <c r="G670" s="29">
        <v>0</v>
      </c>
      <c r="H670" s="29">
        <v>0</v>
      </c>
      <c r="I670" s="29">
        <v>40.369471673198753</v>
      </c>
      <c r="J670" s="29">
        <v>0</v>
      </c>
      <c r="K670" s="29">
        <v>0</v>
      </c>
      <c r="L670" s="30">
        <v>0</v>
      </c>
      <c r="M670" s="30">
        <v>0</v>
      </c>
    </row>
    <row r="671" spans="2:13" x14ac:dyDescent="0.25">
      <c r="B671" s="27">
        <v>668</v>
      </c>
      <c r="C671" s="29">
        <v>0</v>
      </c>
      <c r="D671" s="29">
        <v>67.17544049678844</v>
      </c>
      <c r="E671" s="29">
        <v>0</v>
      </c>
      <c r="F671" s="29">
        <v>30.917457784890278</v>
      </c>
      <c r="G671" s="29">
        <v>0</v>
      </c>
      <c r="H671" s="29">
        <v>0</v>
      </c>
      <c r="I671" s="29">
        <v>42.90238859187172</v>
      </c>
      <c r="J671" s="29">
        <v>0</v>
      </c>
      <c r="K671" s="29">
        <v>42.755516741932823</v>
      </c>
      <c r="L671" s="30">
        <v>0</v>
      </c>
      <c r="M671" s="30">
        <v>0</v>
      </c>
    </row>
    <row r="672" spans="2:13" x14ac:dyDescent="0.25">
      <c r="B672" s="27">
        <v>669</v>
      </c>
      <c r="C672" s="29">
        <v>34.105660982114635</v>
      </c>
      <c r="D672" s="29">
        <v>74.071331930697966</v>
      </c>
      <c r="E672" s="29">
        <v>0</v>
      </c>
      <c r="F672" s="29">
        <v>0</v>
      </c>
      <c r="G672" s="29">
        <v>0</v>
      </c>
      <c r="H672" s="29">
        <v>56.549459335725025</v>
      </c>
      <c r="I672" s="29">
        <v>0</v>
      </c>
      <c r="J672" s="29">
        <v>56.372334029650389</v>
      </c>
      <c r="K672" s="29">
        <v>0</v>
      </c>
      <c r="L672" s="30">
        <v>0</v>
      </c>
      <c r="M672" s="30">
        <v>0</v>
      </c>
    </row>
    <row r="673" spans="2:13" x14ac:dyDescent="0.25">
      <c r="B673" s="27">
        <v>670</v>
      </c>
      <c r="C673" s="29">
        <v>37.793624535539749</v>
      </c>
      <c r="D673" s="29">
        <v>80.661343098372754</v>
      </c>
      <c r="E673" s="29">
        <v>81.477666524753573</v>
      </c>
      <c r="F673" s="29">
        <v>0</v>
      </c>
      <c r="G673" s="29">
        <v>0</v>
      </c>
      <c r="H673" s="29">
        <v>0</v>
      </c>
      <c r="I673" s="29">
        <v>53.201335940129972</v>
      </c>
      <c r="J673" s="29">
        <v>0</v>
      </c>
      <c r="K673" s="29">
        <v>50.006521790530499</v>
      </c>
      <c r="L673" s="30">
        <v>0</v>
      </c>
      <c r="M673" s="30">
        <v>0</v>
      </c>
    </row>
    <row r="674" spans="2:13" x14ac:dyDescent="0.25">
      <c r="B674" s="27">
        <v>671</v>
      </c>
      <c r="C674" s="29">
        <v>67.411421758603552</v>
      </c>
      <c r="D674" s="29">
        <v>99.52124871479387</v>
      </c>
      <c r="E674" s="29">
        <v>0</v>
      </c>
      <c r="F674" s="29">
        <v>33.922583332944171</v>
      </c>
      <c r="G674" s="29">
        <v>0</v>
      </c>
      <c r="H674" s="29">
        <v>0</v>
      </c>
      <c r="I674" s="29">
        <v>26.836553016420762</v>
      </c>
      <c r="J674" s="29">
        <v>0</v>
      </c>
      <c r="K674" s="29">
        <v>0</v>
      </c>
      <c r="L674" s="30">
        <v>0</v>
      </c>
      <c r="M674" s="30">
        <v>0</v>
      </c>
    </row>
    <row r="675" spans="2:13" x14ac:dyDescent="0.25">
      <c r="B675" s="27">
        <v>672</v>
      </c>
      <c r="C675" s="29">
        <v>40.688290104127141</v>
      </c>
      <c r="D675" s="29">
        <v>0</v>
      </c>
      <c r="E675" s="29">
        <v>0</v>
      </c>
      <c r="F675" s="29">
        <v>28.306640441437448</v>
      </c>
      <c r="G675" s="29">
        <v>0</v>
      </c>
      <c r="H675" s="29">
        <v>0</v>
      </c>
      <c r="I675" s="29">
        <v>0</v>
      </c>
      <c r="J675" s="29">
        <v>0</v>
      </c>
      <c r="K675" s="29">
        <v>50.202320187119909</v>
      </c>
      <c r="L675" s="30">
        <v>0</v>
      </c>
      <c r="M675" s="30">
        <v>0</v>
      </c>
    </row>
    <row r="676" spans="2:13" x14ac:dyDescent="0.25">
      <c r="B676" s="27">
        <v>673</v>
      </c>
      <c r="C676" s="29">
        <v>39.702398004085666</v>
      </c>
      <c r="D676" s="29">
        <v>68.724953801784224</v>
      </c>
      <c r="E676" s="29">
        <v>107.42533203222406</v>
      </c>
      <c r="F676" s="29">
        <v>52.97191923746702</v>
      </c>
      <c r="G676" s="29">
        <v>0</v>
      </c>
      <c r="H676" s="29">
        <v>58.489248325509713</v>
      </c>
      <c r="I676" s="29">
        <v>23.638883699846733</v>
      </c>
      <c r="J676" s="29">
        <v>0</v>
      </c>
      <c r="K676" s="29">
        <v>0</v>
      </c>
      <c r="L676" s="30">
        <v>0</v>
      </c>
      <c r="M676" s="30">
        <v>0</v>
      </c>
    </row>
    <row r="677" spans="2:13" x14ac:dyDescent="0.25">
      <c r="B677" s="27">
        <v>674</v>
      </c>
      <c r="C677" s="29">
        <v>27.869280320793639</v>
      </c>
      <c r="D677" s="29">
        <v>82.484293064424776</v>
      </c>
      <c r="E677" s="29">
        <v>72.897752165464297</v>
      </c>
      <c r="F677" s="29">
        <v>35.000945090380725</v>
      </c>
      <c r="G677" s="29">
        <v>0</v>
      </c>
      <c r="H677" s="29">
        <v>0</v>
      </c>
      <c r="I677" s="29">
        <v>44.904841518965924</v>
      </c>
      <c r="J677" s="29">
        <v>0</v>
      </c>
      <c r="K677" s="29">
        <v>0</v>
      </c>
      <c r="L677" s="30">
        <v>28.012721783786564</v>
      </c>
      <c r="M677" s="30">
        <v>0</v>
      </c>
    </row>
    <row r="678" spans="2:13" x14ac:dyDescent="0.25">
      <c r="B678" s="27">
        <v>675</v>
      </c>
      <c r="C678" s="29">
        <v>17.2455299437162</v>
      </c>
      <c r="D678" s="29">
        <v>80.777964848287624</v>
      </c>
      <c r="E678" s="29">
        <v>0</v>
      </c>
      <c r="F678" s="29">
        <v>54.965003804451925</v>
      </c>
      <c r="G678" s="29">
        <v>0</v>
      </c>
      <c r="H678" s="29">
        <v>0</v>
      </c>
      <c r="I678" s="29">
        <v>0</v>
      </c>
      <c r="J678" s="29">
        <v>0</v>
      </c>
      <c r="K678" s="29">
        <v>39.137753759129609</v>
      </c>
      <c r="L678" s="30">
        <v>0</v>
      </c>
      <c r="M678" s="30">
        <v>0</v>
      </c>
    </row>
    <row r="679" spans="2:13" x14ac:dyDescent="0.25">
      <c r="B679" s="27">
        <v>676</v>
      </c>
      <c r="C679" s="29">
        <v>42.561280471080714</v>
      </c>
      <c r="D679" s="29">
        <v>65.310580739926792</v>
      </c>
      <c r="E679" s="29">
        <v>0</v>
      </c>
      <c r="F679" s="29">
        <v>47.236141352597336</v>
      </c>
      <c r="G679" s="29">
        <v>17.663499129327274</v>
      </c>
      <c r="H679" s="29">
        <v>50.404638131690568</v>
      </c>
      <c r="I679" s="29">
        <v>23.552580454329163</v>
      </c>
      <c r="J679" s="29">
        <v>0</v>
      </c>
      <c r="K679" s="29">
        <v>0</v>
      </c>
      <c r="L679" s="30">
        <v>48.637635608638462</v>
      </c>
      <c r="M679" s="30">
        <v>0</v>
      </c>
    </row>
    <row r="680" spans="2:13" x14ac:dyDescent="0.25">
      <c r="B680" s="27">
        <v>677</v>
      </c>
      <c r="C680" s="29">
        <v>44.430014196400201</v>
      </c>
      <c r="D680" s="29">
        <v>68.935283137931492</v>
      </c>
      <c r="E680" s="29">
        <v>125.11667750964696</v>
      </c>
      <c r="F680" s="29">
        <v>0</v>
      </c>
      <c r="G680" s="29">
        <v>55.634138275194502</v>
      </c>
      <c r="H680" s="29">
        <v>0</v>
      </c>
      <c r="I680" s="29">
        <v>0</v>
      </c>
      <c r="J680" s="29">
        <v>0</v>
      </c>
      <c r="K680" s="29">
        <v>33.23339519710548</v>
      </c>
      <c r="L680" s="30">
        <v>0</v>
      </c>
      <c r="M680" s="30">
        <v>0</v>
      </c>
    </row>
    <row r="681" spans="2:13" x14ac:dyDescent="0.25">
      <c r="B681" s="27">
        <v>678</v>
      </c>
      <c r="C681" s="29">
        <v>40.188467689956724</v>
      </c>
      <c r="D681" s="29">
        <v>84.670890134499942</v>
      </c>
      <c r="E681" s="29">
        <v>126.22158457809988</v>
      </c>
      <c r="F681" s="29">
        <v>68.642417416061562</v>
      </c>
      <c r="G681" s="29">
        <v>0</v>
      </c>
      <c r="H681" s="29">
        <v>0</v>
      </c>
      <c r="I681" s="29">
        <v>40.520865799864112</v>
      </c>
      <c r="J681" s="29">
        <v>0</v>
      </c>
      <c r="K681" s="29">
        <v>0</v>
      </c>
      <c r="L681" s="30">
        <v>0</v>
      </c>
      <c r="M681" s="30">
        <v>0</v>
      </c>
    </row>
    <row r="682" spans="2:13" x14ac:dyDescent="0.25">
      <c r="B682" s="27">
        <v>679</v>
      </c>
      <c r="C682" s="29">
        <v>27.376200552985622</v>
      </c>
      <c r="D682" s="29">
        <v>66.785534184825991</v>
      </c>
      <c r="E682" s="29">
        <v>0</v>
      </c>
      <c r="F682" s="29">
        <v>53.861428743949077</v>
      </c>
      <c r="G682" s="29">
        <v>0</v>
      </c>
      <c r="H682" s="29">
        <v>0</v>
      </c>
      <c r="I682" s="29">
        <v>0</v>
      </c>
      <c r="J682" s="29">
        <v>0</v>
      </c>
      <c r="K682" s="29">
        <v>0</v>
      </c>
      <c r="L682" s="30">
        <v>0</v>
      </c>
      <c r="M682" s="30">
        <v>0</v>
      </c>
    </row>
    <row r="683" spans="2:13" x14ac:dyDescent="0.25">
      <c r="B683" s="27">
        <v>680</v>
      </c>
      <c r="C683" s="29">
        <v>0</v>
      </c>
      <c r="D683" s="29">
        <v>83.452952427501458</v>
      </c>
      <c r="E683" s="29">
        <v>134.92194918669676</v>
      </c>
      <c r="F683" s="29">
        <v>42.698821678415023</v>
      </c>
      <c r="G683" s="29">
        <v>0</v>
      </c>
      <c r="H683" s="29">
        <v>31.887407965506963</v>
      </c>
      <c r="I683" s="29">
        <v>35.860466216190716</v>
      </c>
      <c r="J683" s="29">
        <v>0</v>
      </c>
      <c r="K683" s="29">
        <v>56.792946164664222</v>
      </c>
      <c r="L683" s="30">
        <v>0</v>
      </c>
      <c r="M683" s="30">
        <v>0</v>
      </c>
    </row>
    <row r="684" spans="2:13" x14ac:dyDescent="0.25">
      <c r="B684" s="27">
        <v>681</v>
      </c>
      <c r="C684" s="29">
        <v>0</v>
      </c>
      <c r="D684" s="29">
        <v>0</v>
      </c>
      <c r="E684" s="29">
        <v>0</v>
      </c>
      <c r="F684" s="29">
        <v>29.093542687049418</v>
      </c>
      <c r="G684" s="29">
        <v>0</v>
      </c>
      <c r="H684" s="29">
        <v>0</v>
      </c>
      <c r="I684" s="29">
        <v>30.178178033786999</v>
      </c>
      <c r="J684" s="29">
        <v>0</v>
      </c>
      <c r="K684" s="29">
        <v>63.101724627902975</v>
      </c>
      <c r="L684" s="30">
        <v>0</v>
      </c>
      <c r="M684" s="30">
        <v>0</v>
      </c>
    </row>
    <row r="685" spans="2:13" x14ac:dyDescent="0.25">
      <c r="B685" s="27">
        <v>682</v>
      </c>
      <c r="C685" s="29">
        <v>40.516867238205165</v>
      </c>
      <c r="D685" s="29">
        <v>69.29640767790724</v>
      </c>
      <c r="E685" s="29">
        <v>90.143324433776144</v>
      </c>
      <c r="F685" s="29">
        <v>29.861985748500185</v>
      </c>
      <c r="G685" s="29">
        <v>0</v>
      </c>
      <c r="H685" s="29">
        <v>0</v>
      </c>
      <c r="I685" s="29">
        <v>0</v>
      </c>
      <c r="J685" s="29">
        <v>0</v>
      </c>
      <c r="K685" s="29">
        <v>54.296124307130412</v>
      </c>
      <c r="L685" s="30">
        <v>0</v>
      </c>
      <c r="M685" s="30">
        <v>0</v>
      </c>
    </row>
    <row r="686" spans="2:13" x14ac:dyDescent="0.25">
      <c r="B686" s="27">
        <v>683</v>
      </c>
      <c r="C686" s="29">
        <v>16.791638915890797</v>
      </c>
      <c r="D686" s="29">
        <v>75.202166954658821</v>
      </c>
      <c r="E686" s="29">
        <v>91.510862691375422</v>
      </c>
      <c r="F686" s="29">
        <v>24.919752496514334</v>
      </c>
      <c r="G686" s="29">
        <v>0</v>
      </c>
      <c r="H686" s="29">
        <v>0</v>
      </c>
      <c r="I686" s="29">
        <v>0</v>
      </c>
      <c r="J686" s="29">
        <v>0</v>
      </c>
      <c r="K686" s="29">
        <v>35.44693638212452</v>
      </c>
      <c r="L686" s="30">
        <v>0</v>
      </c>
      <c r="M686" s="30">
        <v>0</v>
      </c>
    </row>
    <row r="687" spans="2:13" x14ac:dyDescent="0.25">
      <c r="B687" s="27">
        <v>684</v>
      </c>
      <c r="C687" s="29">
        <v>47.332267792822996</v>
      </c>
      <c r="D687" s="29">
        <v>72.066437587155121</v>
      </c>
      <c r="E687" s="29">
        <v>96.774690562143576</v>
      </c>
      <c r="F687" s="29">
        <v>0</v>
      </c>
      <c r="G687" s="29">
        <v>0</v>
      </c>
      <c r="H687" s="29">
        <v>0</v>
      </c>
      <c r="I687" s="29">
        <v>0</v>
      </c>
      <c r="J687" s="29">
        <v>0</v>
      </c>
      <c r="K687" s="29">
        <v>51.49342593988689</v>
      </c>
      <c r="L687" s="30">
        <v>0</v>
      </c>
      <c r="M687" s="30">
        <v>0</v>
      </c>
    </row>
    <row r="688" spans="2:13" x14ac:dyDescent="0.25">
      <c r="B688" s="27">
        <v>685</v>
      </c>
      <c r="C688" s="29">
        <v>45.827574358361836</v>
      </c>
      <c r="D688" s="29">
        <v>63.614015451424038</v>
      </c>
      <c r="E688" s="29">
        <v>0</v>
      </c>
      <c r="F688" s="29">
        <v>45.485991801826287</v>
      </c>
      <c r="G688" s="29">
        <v>0</v>
      </c>
      <c r="H688" s="29">
        <v>0</v>
      </c>
      <c r="I688" s="29">
        <v>32.799401312494794</v>
      </c>
      <c r="J688" s="29">
        <v>0</v>
      </c>
      <c r="K688" s="29">
        <v>66.403339710947179</v>
      </c>
      <c r="L688" s="30">
        <v>0</v>
      </c>
      <c r="M688" s="30">
        <v>0</v>
      </c>
    </row>
    <row r="689" spans="2:13" x14ac:dyDescent="0.25">
      <c r="B689" s="27">
        <v>686</v>
      </c>
      <c r="C689" s="29">
        <v>26.154262191544749</v>
      </c>
      <c r="D689" s="29">
        <v>85.016503606201255</v>
      </c>
      <c r="E689" s="29">
        <v>0</v>
      </c>
      <c r="F689" s="29">
        <v>35.170811511772733</v>
      </c>
      <c r="G689" s="29">
        <v>0</v>
      </c>
      <c r="H689" s="29">
        <v>0</v>
      </c>
      <c r="I689" s="29">
        <v>0</v>
      </c>
      <c r="J689" s="29">
        <v>0</v>
      </c>
      <c r="K689" s="29">
        <v>46.924726309337338</v>
      </c>
      <c r="L689" s="30">
        <v>0</v>
      </c>
      <c r="M689" s="30">
        <v>0</v>
      </c>
    </row>
    <row r="690" spans="2:13" x14ac:dyDescent="0.25">
      <c r="B690" s="27">
        <v>687</v>
      </c>
      <c r="C690" s="29">
        <v>42.312271703979711</v>
      </c>
      <c r="D690" s="29">
        <v>76.077280261621212</v>
      </c>
      <c r="E690" s="29">
        <v>0</v>
      </c>
      <c r="F690" s="29">
        <v>48.653718054433917</v>
      </c>
      <c r="G690" s="29">
        <v>0</v>
      </c>
      <c r="H690" s="29">
        <v>0</v>
      </c>
      <c r="I690" s="29">
        <v>0</v>
      </c>
      <c r="J690" s="29">
        <v>0</v>
      </c>
      <c r="K690" s="29">
        <v>0</v>
      </c>
      <c r="L690" s="30">
        <v>16.034918615160294</v>
      </c>
      <c r="M690" s="30">
        <v>0</v>
      </c>
    </row>
    <row r="691" spans="2:13" x14ac:dyDescent="0.25">
      <c r="B691" s="27">
        <v>688</v>
      </c>
      <c r="C691" s="29">
        <v>49.386959872893662</v>
      </c>
      <c r="D691" s="29">
        <v>84.95535735019088</v>
      </c>
      <c r="E691" s="29">
        <v>87.194896734020091</v>
      </c>
      <c r="F691" s="29">
        <v>23.063484839128837</v>
      </c>
      <c r="G691" s="29">
        <v>0</v>
      </c>
      <c r="H691" s="29">
        <v>0</v>
      </c>
      <c r="I691" s="29">
        <v>0</v>
      </c>
      <c r="J691" s="29">
        <v>0</v>
      </c>
      <c r="K691" s="29">
        <v>0</v>
      </c>
      <c r="L691" s="30">
        <v>0</v>
      </c>
      <c r="M691" s="30">
        <v>0</v>
      </c>
    </row>
    <row r="692" spans="2:13" x14ac:dyDescent="0.25">
      <c r="B692" s="27">
        <v>689</v>
      </c>
      <c r="C692" s="29">
        <v>57.774180589703548</v>
      </c>
      <c r="D692" s="29">
        <v>79.752765190641696</v>
      </c>
      <c r="E692" s="29">
        <v>0</v>
      </c>
      <c r="F692" s="29">
        <v>0</v>
      </c>
      <c r="G692" s="29">
        <v>0</v>
      </c>
      <c r="H692" s="29">
        <v>0</v>
      </c>
      <c r="I692" s="29">
        <v>0</v>
      </c>
      <c r="J692" s="29">
        <v>0</v>
      </c>
      <c r="K692" s="29">
        <v>51.576634914678294</v>
      </c>
      <c r="L692" s="30">
        <v>0</v>
      </c>
      <c r="M692" s="30">
        <v>0</v>
      </c>
    </row>
    <row r="693" spans="2:13" x14ac:dyDescent="0.25">
      <c r="B693" s="27">
        <v>690</v>
      </c>
      <c r="C693" s="29">
        <v>34.730760067878919</v>
      </c>
      <c r="D693" s="29">
        <v>61.769563650639164</v>
      </c>
      <c r="E693" s="29">
        <v>113.53910681671636</v>
      </c>
      <c r="F693" s="29">
        <v>45.785665911644898</v>
      </c>
      <c r="G693" s="29">
        <v>0</v>
      </c>
      <c r="H693" s="29">
        <v>0</v>
      </c>
      <c r="I693" s="29">
        <v>46.848362418982397</v>
      </c>
      <c r="J693" s="29">
        <v>0</v>
      </c>
      <c r="K693" s="29">
        <v>47.217477729830684</v>
      </c>
      <c r="L693" s="30">
        <v>0</v>
      </c>
      <c r="M693" s="30">
        <v>0</v>
      </c>
    </row>
    <row r="694" spans="2:13" x14ac:dyDescent="0.25">
      <c r="B694" s="27">
        <v>691</v>
      </c>
      <c r="C694" s="29">
        <v>0</v>
      </c>
      <c r="D694" s="29">
        <v>65.108526628516856</v>
      </c>
      <c r="E694" s="29">
        <v>126.46639423012927</v>
      </c>
      <c r="F694" s="29">
        <v>43.90292999023972</v>
      </c>
      <c r="G694" s="29">
        <v>0</v>
      </c>
      <c r="H694" s="29">
        <v>0</v>
      </c>
      <c r="I694" s="29">
        <v>24.16627941928477</v>
      </c>
      <c r="J694" s="29">
        <v>56.12270285194947</v>
      </c>
      <c r="K694" s="29">
        <v>56.42798696942868</v>
      </c>
      <c r="L694" s="30">
        <v>0</v>
      </c>
      <c r="M694" s="30">
        <v>0</v>
      </c>
    </row>
    <row r="695" spans="2:13" x14ac:dyDescent="0.25">
      <c r="B695" s="27">
        <v>692</v>
      </c>
      <c r="C695" s="29">
        <v>67.611365999572612</v>
      </c>
      <c r="D695" s="29">
        <v>61.816401238078392</v>
      </c>
      <c r="E695" s="29">
        <v>97.194993798187397</v>
      </c>
      <c r="F695" s="29">
        <v>51.487217336849533</v>
      </c>
      <c r="G695" s="29">
        <v>0</v>
      </c>
      <c r="H695" s="29">
        <v>0</v>
      </c>
      <c r="I695" s="29">
        <v>0</v>
      </c>
      <c r="J695" s="29">
        <v>0</v>
      </c>
      <c r="K695" s="29">
        <v>52.550032916821792</v>
      </c>
      <c r="L695" s="30">
        <v>0</v>
      </c>
      <c r="M695" s="30">
        <v>0</v>
      </c>
    </row>
    <row r="696" spans="2:13" x14ac:dyDescent="0.25">
      <c r="B696" s="27">
        <v>693</v>
      </c>
      <c r="C696" s="29">
        <v>48.622715541631983</v>
      </c>
      <c r="D696" s="29">
        <v>75.271188782456662</v>
      </c>
      <c r="E696" s="29">
        <v>80.744990978520249</v>
      </c>
      <c r="F696" s="29">
        <v>0</v>
      </c>
      <c r="G696" s="29">
        <v>0</v>
      </c>
      <c r="H696" s="29">
        <v>0</v>
      </c>
      <c r="I696" s="29">
        <v>0</v>
      </c>
      <c r="J696" s="29">
        <v>0</v>
      </c>
      <c r="K696" s="29">
        <v>0</v>
      </c>
      <c r="L696" s="30">
        <v>0</v>
      </c>
      <c r="M696" s="30">
        <v>0</v>
      </c>
    </row>
    <row r="697" spans="2:13" x14ac:dyDescent="0.25">
      <c r="B697" s="27">
        <v>694</v>
      </c>
      <c r="C697" s="29">
        <v>60.755074495936171</v>
      </c>
      <c r="D697" s="29">
        <v>57.075790637899289</v>
      </c>
      <c r="E697" s="29">
        <v>0</v>
      </c>
      <c r="F697" s="29">
        <v>33.206468368356553</v>
      </c>
      <c r="G697" s="29">
        <v>0</v>
      </c>
      <c r="H697" s="29">
        <v>62.76951432873193</v>
      </c>
      <c r="I697" s="29">
        <v>0</v>
      </c>
      <c r="J697" s="29">
        <v>0</v>
      </c>
      <c r="K697" s="29">
        <v>37.756571493844461</v>
      </c>
      <c r="L697" s="30">
        <v>0</v>
      </c>
      <c r="M697" s="30">
        <v>0</v>
      </c>
    </row>
    <row r="698" spans="2:13" x14ac:dyDescent="0.25">
      <c r="B698" s="27">
        <v>695</v>
      </c>
      <c r="C698" s="29">
        <v>20.907973176052714</v>
      </c>
      <c r="D698" s="29">
        <v>66.753571710938189</v>
      </c>
      <c r="E698" s="29">
        <v>111.04072752147128</v>
      </c>
      <c r="F698" s="29">
        <v>61.956741573264814</v>
      </c>
      <c r="G698" s="29">
        <v>0</v>
      </c>
      <c r="H698" s="29">
        <v>0</v>
      </c>
      <c r="I698" s="29">
        <v>56.681481948304572</v>
      </c>
      <c r="J698" s="29">
        <v>49.662014658859597</v>
      </c>
      <c r="K698" s="29">
        <v>42.424918117038246</v>
      </c>
      <c r="L698" s="30">
        <v>0</v>
      </c>
      <c r="M698" s="30">
        <v>0</v>
      </c>
    </row>
    <row r="699" spans="2:13" x14ac:dyDescent="0.25">
      <c r="B699" s="27">
        <v>696</v>
      </c>
      <c r="C699" s="29">
        <v>0</v>
      </c>
      <c r="D699" s="29">
        <v>85.486877734208718</v>
      </c>
      <c r="E699" s="29">
        <v>76.483150880960494</v>
      </c>
      <c r="F699" s="29">
        <v>48.608198672490943</v>
      </c>
      <c r="G699" s="29">
        <v>0</v>
      </c>
      <c r="H699" s="29">
        <v>23.916838875791296</v>
      </c>
      <c r="I699" s="29">
        <v>0</v>
      </c>
      <c r="J699" s="29">
        <v>0</v>
      </c>
      <c r="K699" s="29">
        <v>0</v>
      </c>
      <c r="L699" s="30">
        <v>0</v>
      </c>
      <c r="M699" s="30">
        <v>0</v>
      </c>
    </row>
    <row r="700" spans="2:13" x14ac:dyDescent="0.25">
      <c r="B700" s="27">
        <v>697</v>
      </c>
      <c r="C700" s="29">
        <v>35.098637560109502</v>
      </c>
      <c r="D700" s="29">
        <v>57.42725975537325</v>
      </c>
      <c r="E700" s="29">
        <v>0</v>
      </c>
      <c r="F700" s="29">
        <v>0</v>
      </c>
      <c r="G700" s="29">
        <v>56.164580594897842</v>
      </c>
      <c r="H700" s="29">
        <v>24.48337997747872</v>
      </c>
      <c r="I700" s="29">
        <v>0</v>
      </c>
      <c r="J700" s="29">
        <v>0</v>
      </c>
      <c r="K700" s="29">
        <v>42.373194542054833</v>
      </c>
      <c r="L700" s="30">
        <v>0</v>
      </c>
      <c r="M700" s="30">
        <v>0</v>
      </c>
    </row>
    <row r="701" spans="2:13" x14ac:dyDescent="0.25">
      <c r="B701" s="27">
        <v>698</v>
      </c>
      <c r="C701" s="29">
        <v>37.055920428872454</v>
      </c>
      <c r="D701" s="29">
        <v>0</v>
      </c>
      <c r="E701" s="29">
        <v>0</v>
      </c>
      <c r="F701" s="29">
        <v>44.436049933539159</v>
      </c>
      <c r="G701" s="29">
        <v>0</v>
      </c>
      <c r="H701" s="29">
        <v>32.317437113259757</v>
      </c>
      <c r="I701" s="29">
        <v>0</v>
      </c>
      <c r="J701" s="29">
        <v>0</v>
      </c>
      <c r="K701" s="29">
        <v>53.03884650611738</v>
      </c>
      <c r="L701" s="30">
        <v>0</v>
      </c>
      <c r="M701" s="30">
        <v>0</v>
      </c>
    </row>
    <row r="702" spans="2:13" x14ac:dyDescent="0.25">
      <c r="B702" s="27">
        <v>699</v>
      </c>
      <c r="C702" s="29">
        <v>45.503055077944197</v>
      </c>
      <c r="D702" s="29">
        <v>68.681898031154049</v>
      </c>
      <c r="E702" s="29">
        <v>106.79646156014482</v>
      </c>
      <c r="F702" s="29">
        <v>17.542445989238686</v>
      </c>
      <c r="G702" s="29">
        <v>0</v>
      </c>
      <c r="H702" s="29">
        <v>22.487144859028447</v>
      </c>
      <c r="I702" s="29">
        <v>0</v>
      </c>
      <c r="J702" s="29">
        <v>0</v>
      </c>
      <c r="K702" s="29">
        <v>0</v>
      </c>
      <c r="L702" s="30">
        <v>0</v>
      </c>
      <c r="M702" s="30">
        <v>0</v>
      </c>
    </row>
    <row r="703" spans="2:13" x14ac:dyDescent="0.25">
      <c r="B703" s="27">
        <v>700</v>
      </c>
      <c r="C703" s="29">
        <v>33.091784615942437</v>
      </c>
      <c r="D703" s="29">
        <v>84.616608745024166</v>
      </c>
      <c r="E703" s="29">
        <v>86.068097293008066</v>
      </c>
      <c r="F703" s="29">
        <v>30.184239832960824</v>
      </c>
      <c r="G703" s="29">
        <v>0</v>
      </c>
      <c r="H703" s="29">
        <v>0</v>
      </c>
      <c r="I703" s="29">
        <v>31.468177099893005</v>
      </c>
      <c r="J703" s="29">
        <v>0</v>
      </c>
      <c r="K703" s="29">
        <v>51.658864313903138</v>
      </c>
      <c r="L703" s="30">
        <v>34.484960656819368</v>
      </c>
      <c r="M703" s="30">
        <v>0</v>
      </c>
    </row>
    <row r="704" spans="2:13" x14ac:dyDescent="0.25">
      <c r="B704" s="27">
        <v>701</v>
      </c>
      <c r="C704" s="29">
        <v>53.375091978114625</v>
      </c>
      <c r="D704" s="29">
        <v>72.74407872941272</v>
      </c>
      <c r="E704" s="29">
        <v>83.870794659452059</v>
      </c>
      <c r="F704" s="29">
        <v>25.33872207864033</v>
      </c>
      <c r="G704" s="29">
        <v>0</v>
      </c>
      <c r="H704" s="29">
        <v>36.818666018392612</v>
      </c>
      <c r="I704" s="29">
        <v>37.349865722892019</v>
      </c>
      <c r="J704" s="29">
        <v>10.829628430089475</v>
      </c>
      <c r="K704" s="29">
        <v>0</v>
      </c>
      <c r="L704" s="30">
        <v>0</v>
      </c>
      <c r="M704" s="30">
        <v>0</v>
      </c>
    </row>
    <row r="705" spans="2:13" x14ac:dyDescent="0.25">
      <c r="B705" s="27">
        <v>702</v>
      </c>
      <c r="C705" s="29">
        <v>38.432626657161862</v>
      </c>
      <c r="D705" s="29">
        <v>73.888738042349374</v>
      </c>
      <c r="E705" s="29">
        <v>0</v>
      </c>
      <c r="F705" s="29">
        <v>44.655603906293052</v>
      </c>
      <c r="G705" s="29">
        <v>0</v>
      </c>
      <c r="H705" s="29">
        <v>0</v>
      </c>
      <c r="I705" s="29">
        <v>0</v>
      </c>
      <c r="J705" s="29">
        <v>57.427580903744186</v>
      </c>
      <c r="K705" s="29">
        <v>29.265416077325877</v>
      </c>
      <c r="L705" s="30">
        <v>0</v>
      </c>
      <c r="M705" s="30">
        <v>0</v>
      </c>
    </row>
    <row r="706" spans="2:13" x14ac:dyDescent="0.25">
      <c r="B706" s="27">
        <v>703</v>
      </c>
      <c r="C706" s="29">
        <v>0</v>
      </c>
      <c r="D706" s="29">
        <v>95.586937517090291</v>
      </c>
      <c r="E706" s="29">
        <v>0</v>
      </c>
      <c r="F706" s="29">
        <v>57.48463120458144</v>
      </c>
      <c r="G706" s="29">
        <v>0</v>
      </c>
      <c r="H706" s="29">
        <v>0</v>
      </c>
      <c r="I706" s="29">
        <v>0</v>
      </c>
      <c r="J706" s="29">
        <v>0</v>
      </c>
      <c r="K706" s="29">
        <v>26.400917774302339</v>
      </c>
      <c r="L706" s="30">
        <v>0</v>
      </c>
      <c r="M706" s="30">
        <v>0</v>
      </c>
    </row>
    <row r="707" spans="2:13" x14ac:dyDescent="0.25">
      <c r="B707" s="27">
        <v>704</v>
      </c>
      <c r="C707" s="29">
        <v>48.349218025757374</v>
      </c>
      <c r="D707" s="29">
        <v>81.412170130783124</v>
      </c>
      <c r="E707" s="29">
        <v>0</v>
      </c>
      <c r="F707" s="29">
        <v>45.262987246158922</v>
      </c>
      <c r="G707" s="29">
        <v>0</v>
      </c>
      <c r="H707" s="29">
        <v>0</v>
      </c>
      <c r="I707" s="29">
        <v>0</v>
      </c>
      <c r="J707" s="29">
        <v>48.492162003149929</v>
      </c>
      <c r="K707" s="29">
        <v>46.373996062214722</v>
      </c>
      <c r="L707" s="30">
        <v>0</v>
      </c>
      <c r="M707" s="30">
        <v>0</v>
      </c>
    </row>
    <row r="708" spans="2:13" x14ac:dyDescent="0.25">
      <c r="B708" s="27">
        <v>705</v>
      </c>
      <c r="C708" s="29">
        <v>30.985333236274492</v>
      </c>
      <c r="D708" s="29">
        <v>56.090668261899722</v>
      </c>
      <c r="E708" s="29">
        <v>0</v>
      </c>
      <c r="F708" s="29">
        <v>48.329390143453381</v>
      </c>
      <c r="G708" s="29">
        <v>0</v>
      </c>
      <c r="H708" s="29">
        <v>0</v>
      </c>
      <c r="I708" s="29">
        <v>65.953433385908767</v>
      </c>
      <c r="J708" s="29">
        <v>0</v>
      </c>
      <c r="K708" s="29">
        <v>44.819195867138063</v>
      </c>
      <c r="L708" s="30">
        <v>0</v>
      </c>
      <c r="M708" s="30">
        <v>0</v>
      </c>
    </row>
    <row r="709" spans="2:13" x14ac:dyDescent="0.25">
      <c r="B709" s="27">
        <v>706</v>
      </c>
      <c r="C709" s="29">
        <v>37.85328169882721</v>
      </c>
      <c r="D709" s="29">
        <v>89.976002486511277</v>
      </c>
      <c r="E709" s="29">
        <v>73.549765579641388</v>
      </c>
      <c r="F709" s="29">
        <v>0</v>
      </c>
      <c r="G709" s="29">
        <v>0</v>
      </c>
      <c r="H709" s="29">
        <v>0</v>
      </c>
      <c r="I709" s="29">
        <v>0</v>
      </c>
      <c r="J709" s="29">
        <v>52.655083242066475</v>
      </c>
      <c r="K709" s="29">
        <v>51.574229134535805</v>
      </c>
      <c r="L709" s="30">
        <v>0</v>
      </c>
      <c r="M709" s="30">
        <v>0</v>
      </c>
    </row>
    <row r="710" spans="2:13" x14ac:dyDescent="0.25">
      <c r="B710" s="27">
        <v>707</v>
      </c>
      <c r="C710" s="29">
        <v>16.232469008883903</v>
      </c>
      <c r="D710" s="29">
        <v>75.538953006871054</v>
      </c>
      <c r="E710" s="29">
        <v>76.376570635263008</v>
      </c>
      <c r="F710" s="29">
        <v>32.993603215594803</v>
      </c>
      <c r="G710" s="29">
        <v>0</v>
      </c>
      <c r="H710" s="29">
        <v>15.011752053839093</v>
      </c>
      <c r="I710" s="29">
        <v>41.020501986291478</v>
      </c>
      <c r="J710" s="29">
        <v>0</v>
      </c>
      <c r="K710" s="29">
        <v>30.66570626117192</v>
      </c>
      <c r="L710" s="30">
        <v>50.21332221087777</v>
      </c>
      <c r="M710" s="30">
        <v>0</v>
      </c>
    </row>
    <row r="711" spans="2:13" x14ac:dyDescent="0.25">
      <c r="B711" s="27">
        <v>708</v>
      </c>
      <c r="C711" s="29">
        <v>33.418662839515108</v>
      </c>
      <c r="D711" s="29">
        <v>77.992713944947099</v>
      </c>
      <c r="E711" s="29">
        <v>98.948609750012224</v>
      </c>
      <c r="F711" s="29">
        <v>17.610561828870768</v>
      </c>
      <c r="G711" s="29">
        <v>0</v>
      </c>
      <c r="H711" s="29">
        <v>0</v>
      </c>
      <c r="I711" s="29">
        <v>30.064219268205548</v>
      </c>
      <c r="J711" s="29">
        <v>0</v>
      </c>
      <c r="K711" s="29">
        <v>36.694037063616307</v>
      </c>
      <c r="L711" s="30">
        <v>0</v>
      </c>
      <c r="M711" s="30">
        <v>0</v>
      </c>
    </row>
    <row r="712" spans="2:13" x14ac:dyDescent="0.25">
      <c r="B712" s="27">
        <v>709</v>
      </c>
      <c r="C712" s="29">
        <v>56.668748118167869</v>
      </c>
      <c r="D712" s="29">
        <v>84.928422468067609</v>
      </c>
      <c r="E712" s="29">
        <v>0</v>
      </c>
      <c r="F712" s="29">
        <v>26.627180236238367</v>
      </c>
      <c r="G712" s="29">
        <v>0</v>
      </c>
      <c r="H712" s="29">
        <v>0</v>
      </c>
      <c r="I712" s="29">
        <v>50.399223402020006</v>
      </c>
      <c r="J712" s="29">
        <v>0</v>
      </c>
      <c r="K712" s="29">
        <v>58.971242144997859</v>
      </c>
      <c r="L712" s="30">
        <v>0</v>
      </c>
      <c r="M712" s="30">
        <v>0</v>
      </c>
    </row>
    <row r="713" spans="2:13" x14ac:dyDescent="0.25">
      <c r="B713" s="27">
        <v>710</v>
      </c>
      <c r="C713" s="29">
        <v>65.39340067332941</v>
      </c>
      <c r="D713" s="29">
        <v>0</v>
      </c>
      <c r="E713" s="29">
        <v>83.700445664042817</v>
      </c>
      <c r="F713" s="29">
        <v>50.429377061211284</v>
      </c>
      <c r="G713" s="29">
        <v>62.377113913237793</v>
      </c>
      <c r="H713" s="29">
        <v>22.524157541128965</v>
      </c>
      <c r="I713" s="29">
        <v>0</v>
      </c>
      <c r="J713" s="29">
        <v>0</v>
      </c>
      <c r="K713" s="29">
        <v>56.616376755054475</v>
      </c>
      <c r="L713" s="30">
        <v>0</v>
      </c>
      <c r="M713" s="30">
        <v>0</v>
      </c>
    </row>
    <row r="714" spans="2:13" x14ac:dyDescent="0.25">
      <c r="B714" s="27">
        <v>711</v>
      </c>
      <c r="C714" s="29">
        <v>18.494785703402748</v>
      </c>
      <c r="D714" s="29">
        <v>90.90958080648484</v>
      </c>
      <c r="E714" s="29">
        <v>81.928913168322453</v>
      </c>
      <c r="F714" s="29">
        <v>48.672107813208598</v>
      </c>
      <c r="G714" s="29">
        <v>0</v>
      </c>
      <c r="H714" s="29">
        <v>0</v>
      </c>
      <c r="I714" s="29">
        <v>52.190829642129401</v>
      </c>
      <c r="J714" s="29">
        <v>0</v>
      </c>
      <c r="K714" s="29">
        <v>27.25004145446184</v>
      </c>
      <c r="L714" s="30">
        <v>0</v>
      </c>
      <c r="M714" s="30">
        <v>0</v>
      </c>
    </row>
    <row r="715" spans="2:13" x14ac:dyDescent="0.25">
      <c r="B715" s="27">
        <v>712</v>
      </c>
      <c r="C715" s="29">
        <v>27.513238409114269</v>
      </c>
      <c r="D715" s="29">
        <v>62.537711943053296</v>
      </c>
      <c r="E715" s="29">
        <v>80.622291164202608</v>
      </c>
      <c r="F715" s="29">
        <v>48.378543125701903</v>
      </c>
      <c r="G715" s="29">
        <v>0</v>
      </c>
      <c r="H715" s="29">
        <v>0</v>
      </c>
      <c r="I715" s="29">
        <v>0</v>
      </c>
      <c r="J715" s="29">
        <v>0</v>
      </c>
      <c r="K715" s="29">
        <v>25.855480157602372</v>
      </c>
      <c r="L715" s="30">
        <v>0</v>
      </c>
      <c r="M715" s="30">
        <v>0</v>
      </c>
    </row>
    <row r="716" spans="2:13" x14ac:dyDescent="0.25">
      <c r="B716" s="27">
        <v>713</v>
      </c>
      <c r="C716" s="29">
        <v>41.297991437779785</v>
      </c>
      <c r="D716" s="29">
        <v>86.150676959060618</v>
      </c>
      <c r="E716" s="29">
        <v>106.48645797994709</v>
      </c>
      <c r="F716" s="29">
        <v>23.001152325519808</v>
      </c>
      <c r="G716" s="29">
        <v>0</v>
      </c>
      <c r="H716" s="29">
        <v>0</v>
      </c>
      <c r="I716" s="29">
        <v>0</v>
      </c>
      <c r="J716" s="29">
        <v>0</v>
      </c>
      <c r="K716" s="29">
        <v>0</v>
      </c>
      <c r="L716" s="30">
        <v>0</v>
      </c>
      <c r="M716" s="30">
        <v>0</v>
      </c>
    </row>
    <row r="717" spans="2:13" x14ac:dyDescent="0.25">
      <c r="B717" s="27">
        <v>714</v>
      </c>
      <c r="C717" s="29">
        <v>13.010482687278159</v>
      </c>
      <c r="D717" s="29">
        <v>93.164160787174254</v>
      </c>
      <c r="E717" s="29">
        <v>98.513774275574804</v>
      </c>
      <c r="F717" s="29">
        <v>33.108367860314601</v>
      </c>
      <c r="G717" s="29">
        <v>0</v>
      </c>
      <c r="H717" s="29">
        <v>0</v>
      </c>
      <c r="I717" s="29">
        <v>0</v>
      </c>
      <c r="J717" s="29">
        <v>0</v>
      </c>
      <c r="K717" s="29">
        <v>62.573648326701814</v>
      </c>
      <c r="L717" s="30">
        <v>0</v>
      </c>
      <c r="M717" s="30">
        <v>0</v>
      </c>
    </row>
    <row r="718" spans="2:13" x14ac:dyDescent="0.25">
      <c r="B718" s="27">
        <v>715</v>
      </c>
      <c r="C718" s="29">
        <v>20.656411682961206</v>
      </c>
      <c r="D718" s="29">
        <v>95.632277763006215</v>
      </c>
      <c r="E718" s="29">
        <v>129.37966641362814</v>
      </c>
      <c r="F718" s="29">
        <v>0</v>
      </c>
      <c r="G718" s="29">
        <v>0</v>
      </c>
      <c r="H718" s="29">
        <v>0</v>
      </c>
      <c r="I718" s="29">
        <v>0</v>
      </c>
      <c r="J718" s="29">
        <v>0</v>
      </c>
      <c r="K718" s="29">
        <v>0</v>
      </c>
      <c r="L718" s="30">
        <v>0</v>
      </c>
      <c r="M718" s="30">
        <v>0</v>
      </c>
    </row>
    <row r="719" spans="2:13" x14ac:dyDescent="0.25">
      <c r="B719" s="27">
        <v>716</v>
      </c>
      <c r="C719" s="29">
        <v>50.143035936320352</v>
      </c>
      <c r="D719" s="29">
        <v>58.433686780304015</v>
      </c>
      <c r="E719" s="29">
        <v>94.923438210285383</v>
      </c>
      <c r="F719" s="29">
        <v>0</v>
      </c>
      <c r="G719" s="29">
        <v>0</v>
      </c>
      <c r="H719" s="29">
        <v>0</v>
      </c>
      <c r="I719" s="29">
        <v>0</v>
      </c>
      <c r="J719" s="29">
        <v>0</v>
      </c>
      <c r="K719" s="29">
        <v>0</v>
      </c>
      <c r="L719" s="30">
        <v>0</v>
      </c>
      <c r="M719" s="30">
        <v>0</v>
      </c>
    </row>
    <row r="720" spans="2:13" x14ac:dyDescent="0.25">
      <c r="B720" s="27">
        <v>717</v>
      </c>
      <c r="C720" s="29">
        <v>14.576125178755232</v>
      </c>
      <c r="D720" s="29">
        <v>69.080764820532366</v>
      </c>
      <c r="E720" s="29">
        <v>107.14643814123644</v>
      </c>
      <c r="F720" s="29">
        <v>36.764479470635123</v>
      </c>
      <c r="G720" s="29">
        <v>0</v>
      </c>
      <c r="H720" s="29">
        <v>56.166132493626264</v>
      </c>
      <c r="I720" s="29">
        <v>59.470323502798649</v>
      </c>
      <c r="J720" s="29">
        <v>0</v>
      </c>
      <c r="K720" s="29">
        <v>37.710652645803393</v>
      </c>
      <c r="L720" s="30">
        <v>0</v>
      </c>
      <c r="M720" s="30">
        <v>0</v>
      </c>
    </row>
    <row r="721" spans="2:13" x14ac:dyDescent="0.25">
      <c r="B721" s="27">
        <v>718</v>
      </c>
      <c r="C721" s="29">
        <v>31.459855133209459</v>
      </c>
      <c r="D721" s="29">
        <v>65.44393432079498</v>
      </c>
      <c r="E721" s="29">
        <v>83.200646071700035</v>
      </c>
      <c r="F721" s="29">
        <v>60.30775826761171</v>
      </c>
      <c r="G721" s="29">
        <v>0</v>
      </c>
      <c r="H721" s="29">
        <v>0</v>
      </c>
      <c r="I721" s="29">
        <v>56.418803403313547</v>
      </c>
      <c r="J721" s="29">
        <v>0</v>
      </c>
      <c r="K721" s="29">
        <v>58.195281821451267</v>
      </c>
      <c r="L721" s="30">
        <v>0</v>
      </c>
      <c r="M721" s="30">
        <v>0</v>
      </c>
    </row>
    <row r="722" spans="2:13" x14ac:dyDescent="0.25">
      <c r="B722" s="27">
        <v>719</v>
      </c>
      <c r="C722" s="29">
        <v>39.129104258055179</v>
      </c>
      <c r="D722" s="29">
        <v>0</v>
      </c>
      <c r="E722" s="29">
        <v>116.17721341227821</v>
      </c>
      <c r="F722" s="29">
        <v>35.898935796066795</v>
      </c>
      <c r="G722" s="29">
        <v>0</v>
      </c>
      <c r="H722" s="29">
        <v>58.580759291692246</v>
      </c>
      <c r="I722" s="29">
        <v>41.988998102607184</v>
      </c>
      <c r="J722" s="29">
        <v>28.241071369937924</v>
      </c>
      <c r="K722" s="29">
        <v>45.904797913674038</v>
      </c>
      <c r="L722" s="30">
        <v>0</v>
      </c>
      <c r="M722" s="30">
        <v>0</v>
      </c>
    </row>
    <row r="723" spans="2:13" x14ac:dyDescent="0.25">
      <c r="B723" s="27">
        <v>720</v>
      </c>
      <c r="C723" s="29">
        <v>48.771488180564532</v>
      </c>
      <c r="D723" s="29">
        <v>66.737967032230756</v>
      </c>
      <c r="E723" s="29">
        <v>75.692509008379091</v>
      </c>
      <c r="F723" s="29">
        <v>38.028137537930057</v>
      </c>
      <c r="G723" s="29">
        <v>0</v>
      </c>
      <c r="H723" s="29">
        <v>51.487838658860426</v>
      </c>
      <c r="I723" s="29">
        <v>20.176817272505282</v>
      </c>
      <c r="J723" s="29">
        <v>0</v>
      </c>
      <c r="K723" s="29">
        <v>44.668563123106942</v>
      </c>
      <c r="L723" s="30">
        <v>0</v>
      </c>
      <c r="M723" s="30">
        <v>0</v>
      </c>
    </row>
    <row r="724" spans="2:13" x14ac:dyDescent="0.25">
      <c r="B724" s="27">
        <v>721</v>
      </c>
      <c r="C724" s="29">
        <v>28.521487558628753</v>
      </c>
      <c r="D724" s="29">
        <v>82.277140453318637</v>
      </c>
      <c r="E724" s="29">
        <v>99.12509853599056</v>
      </c>
      <c r="F724" s="29">
        <v>33.547302975282975</v>
      </c>
      <c r="G724" s="29">
        <v>45.339369589378627</v>
      </c>
      <c r="H724" s="29">
        <v>0</v>
      </c>
      <c r="I724" s="29">
        <v>0</v>
      </c>
      <c r="J724" s="29">
        <v>0</v>
      </c>
      <c r="K724" s="29">
        <v>67.766030046836903</v>
      </c>
      <c r="L724" s="30">
        <v>0</v>
      </c>
      <c r="M724" s="30">
        <v>0</v>
      </c>
    </row>
    <row r="725" spans="2:13" x14ac:dyDescent="0.25">
      <c r="B725" s="27">
        <v>722</v>
      </c>
      <c r="C725" s="29">
        <v>19.290086559988705</v>
      </c>
      <c r="D725" s="29">
        <v>0</v>
      </c>
      <c r="E725" s="29">
        <v>0</v>
      </c>
      <c r="F725" s="29">
        <v>29.373733446127428</v>
      </c>
      <c r="G725" s="29">
        <v>0</v>
      </c>
      <c r="H725" s="29">
        <v>0</v>
      </c>
      <c r="I725" s="29">
        <v>0</v>
      </c>
      <c r="J725" s="29">
        <v>0</v>
      </c>
      <c r="K725" s="29">
        <v>0</v>
      </c>
      <c r="L725" s="30">
        <v>47.475662530854486</v>
      </c>
      <c r="M725" s="30">
        <v>0</v>
      </c>
    </row>
    <row r="726" spans="2:13" x14ac:dyDescent="0.25">
      <c r="B726" s="27">
        <v>723</v>
      </c>
      <c r="C726" s="29">
        <v>61.516750028287071</v>
      </c>
      <c r="D726" s="29">
        <v>68.081669929947296</v>
      </c>
      <c r="E726" s="29">
        <v>0</v>
      </c>
      <c r="F726" s="29">
        <v>35.417797428563105</v>
      </c>
      <c r="G726" s="29">
        <v>43.65539830778458</v>
      </c>
      <c r="H726" s="29">
        <v>0</v>
      </c>
      <c r="I726" s="29">
        <v>52.781597406844554</v>
      </c>
      <c r="J726" s="29">
        <v>0</v>
      </c>
      <c r="K726" s="29">
        <v>43.3785987284746</v>
      </c>
      <c r="L726" s="30">
        <v>0</v>
      </c>
      <c r="M726" s="30">
        <v>0</v>
      </c>
    </row>
    <row r="727" spans="2:13" x14ac:dyDescent="0.25">
      <c r="B727" s="27">
        <v>724</v>
      </c>
      <c r="C727" s="29">
        <v>44.727538495286247</v>
      </c>
      <c r="D727" s="29">
        <v>75.031672691879919</v>
      </c>
      <c r="E727" s="29">
        <v>62.254425156967834</v>
      </c>
      <c r="F727" s="29">
        <v>0</v>
      </c>
      <c r="G727" s="29">
        <v>0</v>
      </c>
      <c r="H727" s="29">
        <v>0</v>
      </c>
      <c r="I727" s="29">
        <v>55.746983714248373</v>
      </c>
      <c r="J727" s="29">
        <v>0</v>
      </c>
      <c r="K727" s="29">
        <v>43.500609768553311</v>
      </c>
      <c r="L727" s="30">
        <v>0</v>
      </c>
      <c r="M727" s="30">
        <v>0</v>
      </c>
    </row>
    <row r="728" spans="2:13" x14ac:dyDescent="0.25">
      <c r="B728" s="27">
        <v>725</v>
      </c>
      <c r="C728" s="29">
        <v>56.115225077704999</v>
      </c>
      <c r="D728" s="29">
        <v>75.856882004037473</v>
      </c>
      <c r="E728" s="29">
        <v>99.1085302697999</v>
      </c>
      <c r="F728" s="29">
        <v>51.678421112371659</v>
      </c>
      <c r="G728" s="29">
        <v>0</v>
      </c>
      <c r="H728" s="29">
        <v>0</v>
      </c>
      <c r="I728" s="29">
        <v>0</v>
      </c>
      <c r="J728" s="29">
        <v>45.801879894582022</v>
      </c>
      <c r="K728" s="29">
        <v>0</v>
      </c>
      <c r="L728" s="30">
        <v>0</v>
      </c>
      <c r="M728" s="30">
        <v>0</v>
      </c>
    </row>
    <row r="729" spans="2:13" x14ac:dyDescent="0.25">
      <c r="B729" s="27">
        <v>726</v>
      </c>
      <c r="C729" s="29">
        <v>0</v>
      </c>
      <c r="D729" s="29">
        <v>62.085457293519767</v>
      </c>
      <c r="E729" s="29">
        <v>79.050801185719763</v>
      </c>
      <c r="F729" s="29">
        <v>40.598547789364744</v>
      </c>
      <c r="G729" s="29">
        <v>0</v>
      </c>
      <c r="H729" s="29">
        <v>0</v>
      </c>
      <c r="I729" s="29">
        <v>0</v>
      </c>
      <c r="J729" s="29">
        <v>47.525209969473906</v>
      </c>
      <c r="K729" s="29">
        <v>21.80979937561515</v>
      </c>
      <c r="L729" s="30">
        <v>0</v>
      </c>
      <c r="M729" s="30">
        <v>0</v>
      </c>
    </row>
    <row r="730" spans="2:13" x14ac:dyDescent="0.25">
      <c r="B730" s="27">
        <v>727</v>
      </c>
      <c r="C730" s="29">
        <v>61.748043933053658</v>
      </c>
      <c r="D730" s="29">
        <v>82.401230820807456</v>
      </c>
      <c r="E730" s="29">
        <v>144.83018779021006</v>
      </c>
      <c r="F730" s="29">
        <v>0</v>
      </c>
      <c r="G730" s="29">
        <v>0</v>
      </c>
      <c r="H730" s="29">
        <v>0</v>
      </c>
      <c r="I730" s="29">
        <v>30.581023292286531</v>
      </c>
      <c r="J730" s="29">
        <v>48.701963483352571</v>
      </c>
      <c r="K730" s="29">
        <v>45.636781294628229</v>
      </c>
      <c r="L730" s="30">
        <v>0</v>
      </c>
      <c r="M730" s="30">
        <v>0</v>
      </c>
    </row>
    <row r="731" spans="2:13" x14ac:dyDescent="0.25">
      <c r="B731" s="27">
        <v>728</v>
      </c>
      <c r="C731" s="29">
        <v>15.562981958976945</v>
      </c>
      <c r="D731" s="29">
        <v>63.422196263666635</v>
      </c>
      <c r="E731" s="29">
        <v>75.061240175923615</v>
      </c>
      <c r="F731" s="29">
        <v>0</v>
      </c>
      <c r="G731" s="29">
        <v>0</v>
      </c>
      <c r="H731" s="29">
        <v>52.635067929980139</v>
      </c>
      <c r="I731" s="29">
        <v>0</v>
      </c>
      <c r="J731" s="29">
        <v>0</v>
      </c>
      <c r="K731" s="29">
        <v>34.5553170147871</v>
      </c>
      <c r="L731" s="30">
        <v>0</v>
      </c>
      <c r="M731" s="30">
        <v>0</v>
      </c>
    </row>
    <row r="732" spans="2:13" x14ac:dyDescent="0.25">
      <c r="B732" s="27">
        <v>729</v>
      </c>
      <c r="C732" s="29">
        <v>54.938567115845188</v>
      </c>
      <c r="D732" s="29">
        <v>71.130187508330323</v>
      </c>
      <c r="E732" s="29">
        <v>0</v>
      </c>
      <c r="F732" s="29">
        <v>60.442864607535626</v>
      </c>
      <c r="G732" s="29">
        <v>0</v>
      </c>
      <c r="H732" s="29">
        <v>0</v>
      </c>
      <c r="I732" s="29">
        <v>0</v>
      </c>
      <c r="J732" s="29">
        <v>44.395049381949995</v>
      </c>
      <c r="K732" s="29">
        <v>34.325078193397893</v>
      </c>
      <c r="L732" s="30">
        <v>0</v>
      </c>
      <c r="M732" s="30">
        <v>0</v>
      </c>
    </row>
    <row r="733" spans="2:13" x14ac:dyDescent="0.25">
      <c r="B733" s="27">
        <v>730</v>
      </c>
      <c r="C733" s="29">
        <v>0</v>
      </c>
      <c r="D733" s="29">
        <v>79.86856374164384</v>
      </c>
      <c r="E733" s="29">
        <v>65.006374040444257</v>
      </c>
      <c r="F733" s="29">
        <v>39.789555681907693</v>
      </c>
      <c r="G733" s="29">
        <v>57.889423730916647</v>
      </c>
      <c r="H733" s="29">
        <v>0</v>
      </c>
      <c r="I733" s="29">
        <v>0</v>
      </c>
      <c r="J733" s="29">
        <v>0</v>
      </c>
      <c r="K733" s="29">
        <v>33.349142936900051</v>
      </c>
      <c r="L733" s="30">
        <v>0</v>
      </c>
      <c r="M733" s="30">
        <v>0</v>
      </c>
    </row>
    <row r="734" spans="2:13" x14ac:dyDescent="0.25">
      <c r="B734" s="27">
        <v>731</v>
      </c>
      <c r="C734" s="29">
        <v>44.766494975889458</v>
      </c>
      <c r="D734" s="29">
        <v>83.321933764714842</v>
      </c>
      <c r="E734" s="29">
        <v>72.077821272614855</v>
      </c>
      <c r="F734" s="29">
        <v>38.11560972391905</v>
      </c>
      <c r="G734" s="29">
        <v>0</v>
      </c>
      <c r="H734" s="29">
        <v>0</v>
      </c>
      <c r="I734" s="29">
        <v>0</v>
      </c>
      <c r="J734" s="29">
        <v>0</v>
      </c>
      <c r="K734" s="29">
        <v>48.910079074360738</v>
      </c>
      <c r="L734" s="30">
        <v>0</v>
      </c>
      <c r="M734" s="30">
        <v>0</v>
      </c>
    </row>
    <row r="735" spans="2:13" x14ac:dyDescent="0.25">
      <c r="B735" s="27">
        <v>732</v>
      </c>
      <c r="C735" s="29">
        <v>51.051757491458375</v>
      </c>
      <c r="D735" s="29">
        <v>60.077025128050742</v>
      </c>
      <c r="E735" s="29">
        <v>73.633013635771007</v>
      </c>
      <c r="F735" s="29">
        <v>57.172541679003217</v>
      </c>
      <c r="G735" s="29">
        <v>0</v>
      </c>
      <c r="H735" s="29">
        <v>0</v>
      </c>
      <c r="I735" s="29">
        <v>0</v>
      </c>
      <c r="J735" s="29">
        <v>0</v>
      </c>
      <c r="K735" s="29">
        <v>52.821319332685277</v>
      </c>
      <c r="L735" s="30">
        <v>0</v>
      </c>
      <c r="M735" s="30">
        <v>0</v>
      </c>
    </row>
    <row r="736" spans="2:13" x14ac:dyDescent="0.25">
      <c r="B736" s="27">
        <v>733</v>
      </c>
      <c r="C736" s="29">
        <v>53.415529785495551</v>
      </c>
      <c r="D736" s="29">
        <v>84.550256334318902</v>
      </c>
      <c r="E736" s="29">
        <v>80.591293799936295</v>
      </c>
      <c r="F736" s="29">
        <v>51.876305510407008</v>
      </c>
      <c r="G736" s="29">
        <v>0</v>
      </c>
      <c r="H736" s="29">
        <v>36.071398760068647</v>
      </c>
      <c r="I736" s="29">
        <v>30.338591242156351</v>
      </c>
      <c r="J736" s="29">
        <v>32.963446854459185</v>
      </c>
      <c r="K736" s="29">
        <v>42.870845860894718</v>
      </c>
      <c r="L736" s="30">
        <v>44.466951800522352</v>
      </c>
      <c r="M736" s="30">
        <v>0</v>
      </c>
    </row>
    <row r="737" spans="2:13" x14ac:dyDescent="0.25">
      <c r="B737" s="27">
        <v>734</v>
      </c>
      <c r="C737" s="29">
        <v>49.168484648444917</v>
      </c>
      <c r="D737" s="29">
        <v>63.275005746314214</v>
      </c>
      <c r="E737" s="29">
        <v>101.8460306721008</v>
      </c>
      <c r="F737" s="29">
        <v>48.869775299629318</v>
      </c>
      <c r="G737" s="29">
        <v>0</v>
      </c>
      <c r="H737" s="29">
        <v>0</v>
      </c>
      <c r="I737" s="29">
        <v>0</v>
      </c>
      <c r="J737" s="29">
        <v>0</v>
      </c>
      <c r="K737" s="29">
        <v>47.953018357057886</v>
      </c>
      <c r="L737" s="30">
        <v>0</v>
      </c>
      <c r="M737" s="30">
        <v>0</v>
      </c>
    </row>
    <row r="738" spans="2:13" x14ac:dyDescent="0.25">
      <c r="B738" s="27">
        <v>735</v>
      </c>
      <c r="C738" s="29">
        <v>38.319411036531399</v>
      </c>
      <c r="D738" s="29">
        <v>0</v>
      </c>
      <c r="E738" s="29">
        <v>0</v>
      </c>
      <c r="F738" s="29">
        <v>42.507731194527068</v>
      </c>
      <c r="G738" s="29">
        <v>0</v>
      </c>
      <c r="H738" s="29">
        <v>0</v>
      </c>
      <c r="I738" s="29">
        <v>0</v>
      </c>
      <c r="J738" s="29">
        <v>0</v>
      </c>
      <c r="K738" s="29">
        <v>50.043357335580822</v>
      </c>
      <c r="L738" s="30">
        <v>0</v>
      </c>
      <c r="M738" s="30">
        <v>0</v>
      </c>
    </row>
    <row r="739" spans="2:13" x14ac:dyDescent="0.25">
      <c r="B739" s="27">
        <v>736</v>
      </c>
      <c r="C739" s="29">
        <v>36.82572399080415</v>
      </c>
      <c r="D739" s="29">
        <v>64.484580784985653</v>
      </c>
      <c r="E739" s="29">
        <v>0</v>
      </c>
      <c r="F739" s="29">
        <v>45.308869790623902</v>
      </c>
      <c r="G739" s="29">
        <v>0</v>
      </c>
      <c r="H739" s="29">
        <v>0</v>
      </c>
      <c r="I739" s="29">
        <v>42.331569284226099</v>
      </c>
      <c r="J739" s="29">
        <v>0</v>
      </c>
      <c r="K739" s="29">
        <v>45.787952625625685</v>
      </c>
      <c r="L739" s="30">
        <v>0</v>
      </c>
      <c r="M739" s="30">
        <v>0</v>
      </c>
    </row>
    <row r="740" spans="2:13" x14ac:dyDescent="0.25">
      <c r="B740" s="27">
        <v>737</v>
      </c>
      <c r="C740" s="29">
        <v>50.06775031072651</v>
      </c>
      <c r="D740" s="29">
        <v>63.978932811103142</v>
      </c>
      <c r="E740" s="29">
        <v>93.699084489269779</v>
      </c>
      <c r="F740" s="29">
        <v>58.502686388092442</v>
      </c>
      <c r="G740" s="29">
        <v>0</v>
      </c>
      <c r="H740" s="29">
        <v>0</v>
      </c>
      <c r="I740" s="29">
        <v>37.97619429192838</v>
      </c>
      <c r="J740" s="29">
        <v>0</v>
      </c>
      <c r="K740" s="29">
        <v>62.607492139378913</v>
      </c>
      <c r="L740" s="30">
        <v>0</v>
      </c>
      <c r="M740" s="30">
        <v>0</v>
      </c>
    </row>
    <row r="741" spans="2:13" x14ac:dyDescent="0.25">
      <c r="B741" s="27">
        <v>738</v>
      </c>
      <c r="C741" s="29">
        <v>47.117550417281365</v>
      </c>
      <c r="D741" s="29">
        <v>0</v>
      </c>
      <c r="E741" s="29">
        <v>0</v>
      </c>
      <c r="F741" s="29">
        <v>0</v>
      </c>
      <c r="G741" s="29">
        <v>0</v>
      </c>
      <c r="H741" s="29">
        <v>0</v>
      </c>
      <c r="I741" s="29">
        <v>0</v>
      </c>
      <c r="J741" s="29">
        <v>0</v>
      </c>
      <c r="K741" s="29">
        <v>62.757472190407071</v>
      </c>
      <c r="L741" s="30">
        <v>0</v>
      </c>
      <c r="M741" s="30">
        <v>0</v>
      </c>
    </row>
    <row r="742" spans="2:13" x14ac:dyDescent="0.25">
      <c r="B742" s="27">
        <v>739</v>
      </c>
      <c r="C742" s="29">
        <v>38.885028817682738</v>
      </c>
      <c r="D742" s="29">
        <v>92.753970864213088</v>
      </c>
      <c r="E742" s="29">
        <v>112.94241130882287</v>
      </c>
      <c r="F742" s="29">
        <v>0</v>
      </c>
      <c r="G742" s="29">
        <v>0</v>
      </c>
      <c r="H742" s="29">
        <v>0</v>
      </c>
      <c r="I742" s="29">
        <v>52.568544520981277</v>
      </c>
      <c r="J742" s="29">
        <v>50.121979347087446</v>
      </c>
      <c r="K742" s="29">
        <v>53.035398106102591</v>
      </c>
      <c r="L742" s="30">
        <v>0</v>
      </c>
      <c r="M742" s="30">
        <v>0</v>
      </c>
    </row>
    <row r="743" spans="2:13" x14ac:dyDescent="0.25">
      <c r="B743" s="27">
        <v>740</v>
      </c>
      <c r="C743" s="29">
        <v>32.135417928894078</v>
      </c>
      <c r="D743" s="29">
        <v>69.135482713641224</v>
      </c>
      <c r="E743" s="29">
        <v>0</v>
      </c>
      <c r="F743" s="29">
        <v>34.571246827246306</v>
      </c>
      <c r="G743" s="29">
        <v>0</v>
      </c>
      <c r="H743" s="29">
        <v>0</v>
      </c>
      <c r="I743" s="29">
        <v>48.189647864491917</v>
      </c>
      <c r="J743" s="29">
        <v>0</v>
      </c>
      <c r="K743" s="29">
        <v>47.537951950479638</v>
      </c>
      <c r="L743" s="30">
        <v>0</v>
      </c>
      <c r="M743" s="30">
        <v>0</v>
      </c>
    </row>
    <row r="744" spans="2:13" x14ac:dyDescent="0.25">
      <c r="B744" s="27">
        <v>741</v>
      </c>
      <c r="C744" s="29">
        <v>67.466920914666915</v>
      </c>
      <c r="D744" s="29">
        <v>69.215051608062808</v>
      </c>
      <c r="E744" s="29">
        <v>88.923334033033441</v>
      </c>
      <c r="F744" s="29">
        <v>58.314769364674909</v>
      </c>
      <c r="G744" s="29">
        <v>0</v>
      </c>
      <c r="H744" s="29">
        <v>0</v>
      </c>
      <c r="I744" s="29">
        <v>0</v>
      </c>
      <c r="J744" s="29">
        <v>0</v>
      </c>
      <c r="K744" s="29">
        <v>0</v>
      </c>
      <c r="L744" s="30">
        <v>0</v>
      </c>
      <c r="M744" s="30">
        <v>0</v>
      </c>
    </row>
    <row r="745" spans="2:13" x14ac:dyDescent="0.25">
      <c r="B745" s="27">
        <v>742</v>
      </c>
      <c r="C745" s="29">
        <v>56.663305276263458</v>
      </c>
      <c r="D745" s="29">
        <v>60.855601079008387</v>
      </c>
      <c r="E745" s="29">
        <v>95.454570174831375</v>
      </c>
      <c r="F745" s="29">
        <v>52.552288783539588</v>
      </c>
      <c r="G745" s="29">
        <v>0</v>
      </c>
      <c r="H745" s="29">
        <v>47.896780783737576</v>
      </c>
      <c r="I745" s="29">
        <v>0</v>
      </c>
      <c r="J745" s="29">
        <v>28.404555750399364</v>
      </c>
      <c r="K745" s="29">
        <v>64.669326728594228</v>
      </c>
      <c r="L745" s="30">
        <v>0</v>
      </c>
      <c r="M745" s="30">
        <v>0</v>
      </c>
    </row>
    <row r="746" spans="2:13" x14ac:dyDescent="0.25">
      <c r="B746" s="27">
        <v>743</v>
      </c>
      <c r="C746" s="29">
        <v>59.50286906689135</v>
      </c>
      <c r="D746" s="29">
        <v>0</v>
      </c>
      <c r="E746" s="29">
        <v>63.485113482103976</v>
      </c>
      <c r="F746" s="29">
        <v>0</v>
      </c>
      <c r="G746" s="29">
        <v>0</v>
      </c>
      <c r="H746" s="29">
        <v>0</v>
      </c>
      <c r="I746" s="29">
        <v>39.477456118379635</v>
      </c>
      <c r="J746" s="29">
        <v>0</v>
      </c>
      <c r="K746" s="29">
        <v>21.228370016908578</v>
      </c>
      <c r="L746" s="30">
        <v>0</v>
      </c>
      <c r="M746" s="30">
        <v>0</v>
      </c>
    </row>
    <row r="747" spans="2:13" x14ac:dyDescent="0.25">
      <c r="B747" s="27">
        <v>744</v>
      </c>
      <c r="C747" s="29">
        <v>50.710167584858439</v>
      </c>
      <c r="D747" s="29">
        <v>89.697170227362534</v>
      </c>
      <c r="E747" s="29">
        <v>95.998127855914831</v>
      </c>
      <c r="F747" s="29">
        <v>51.705049278503751</v>
      </c>
      <c r="G747" s="29">
        <v>53.068672801459705</v>
      </c>
      <c r="H747" s="29">
        <v>0</v>
      </c>
      <c r="I747" s="29">
        <v>0</v>
      </c>
      <c r="J747" s="29">
        <v>0</v>
      </c>
      <c r="K747" s="29">
        <v>19.284070028204191</v>
      </c>
      <c r="L747" s="30">
        <v>0</v>
      </c>
      <c r="M747" s="30">
        <v>0</v>
      </c>
    </row>
    <row r="748" spans="2:13" x14ac:dyDescent="0.25">
      <c r="B748" s="27">
        <v>745</v>
      </c>
      <c r="C748" s="29">
        <v>0</v>
      </c>
      <c r="D748" s="29">
        <v>65.77388387544913</v>
      </c>
      <c r="E748" s="29">
        <v>0</v>
      </c>
      <c r="F748" s="29">
        <v>15.292201938017079</v>
      </c>
      <c r="G748" s="29">
        <v>0</v>
      </c>
      <c r="H748" s="29">
        <v>0</v>
      </c>
      <c r="I748" s="29">
        <v>52.31969802518482</v>
      </c>
      <c r="J748" s="29">
        <v>0</v>
      </c>
      <c r="K748" s="29">
        <v>28.814304817144166</v>
      </c>
      <c r="L748" s="30">
        <v>0</v>
      </c>
      <c r="M748" s="30">
        <v>0</v>
      </c>
    </row>
    <row r="749" spans="2:13" x14ac:dyDescent="0.25">
      <c r="B749" s="27">
        <v>746</v>
      </c>
      <c r="C749" s="29">
        <v>0</v>
      </c>
      <c r="D749" s="29">
        <v>68.317649021344806</v>
      </c>
      <c r="E749" s="29">
        <v>86.873507422419706</v>
      </c>
      <c r="F749" s="29">
        <v>0</v>
      </c>
      <c r="G749" s="29">
        <v>0</v>
      </c>
      <c r="H749" s="29">
        <v>0</v>
      </c>
      <c r="I749" s="29">
        <v>29.06364807746527</v>
      </c>
      <c r="J749" s="29">
        <v>0</v>
      </c>
      <c r="K749" s="29">
        <v>41.3982243017659</v>
      </c>
      <c r="L749" s="30">
        <v>0</v>
      </c>
      <c r="M749" s="30">
        <v>0</v>
      </c>
    </row>
    <row r="750" spans="2:13" x14ac:dyDescent="0.25">
      <c r="B750" s="27">
        <v>747</v>
      </c>
      <c r="C750" s="29">
        <v>51.958932049496156</v>
      </c>
      <c r="D750" s="29">
        <v>88.483258928589123</v>
      </c>
      <c r="E750" s="29">
        <v>87.84980295116533</v>
      </c>
      <c r="F750" s="29">
        <v>0</v>
      </c>
      <c r="G750" s="29">
        <v>0</v>
      </c>
      <c r="H750" s="29">
        <v>0</v>
      </c>
      <c r="I750" s="29">
        <v>0</v>
      </c>
      <c r="J750" s="29">
        <v>0</v>
      </c>
      <c r="K750" s="29">
        <v>47.563363322714991</v>
      </c>
      <c r="L750" s="30">
        <v>0</v>
      </c>
      <c r="M750" s="30">
        <v>0</v>
      </c>
    </row>
    <row r="751" spans="2:13" x14ac:dyDescent="0.25">
      <c r="B751" s="27">
        <v>748</v>
      </c>
      <c r="C751" s="29">
        <v>36.375375213722322</v>
      </c>
      <c r="D751" s="29">
        <v>72.6441650316889</v>
      </c>
      <c r="E751" s="29">
        <v>104.17492234347301</v>
      </c>
      <c r="F751" s="29">
        <v>24.343617299412124</v>
      </c>
      <c r="G751" s="29">
        <v>0</v>
      </c>
      <c r="H751" s="29">
        <v>60.288549132810523</v>
      </c>
      <c r="I751" s="29">
        <v>0</v>
      </c>
      <c r="J751" s="29">
        <v>0</v>
      </c>
      <c r="K751" s="29">
        <v>46.540418447038</v>
      </c>
      <c r="L751" s="30">
        <v>58.734055195467981</v>
      </c>
      <c r="M751" s="30">
        <v>0</v>
      </c>
    </row>
    <row r="752" spans="2:13" x14ac:dyDescent="0.25">
      <c r="B752" s="27">
        <v>749</v>
      </c>
      <c r="C752" s="29">
        <v>55.832257579719858</v>
      </c>
      <c r="D752" s="29">
        <v>0</v>
      </c>
      <c r="E752" s="29">
        <v>75.934156765993521</v>
      </c>
      <c r="F752" s="29">
        <v>22.373704158052661</v>
      </c>
      <c r="G752" s="29">
        <v>0</v>
      </c>
      <c r="H752" s="29">
        <v>0</v>
      </c>
      <c r="I752" s="29">
        <v>36.381785564596903</v>
      </c>
      <c r="J752" s="29">
        <v>53.385246254490994</v>
      </c>
      <c r="K752" s="29">
        <v>30.277697073555554</v>
      </c>
      <c r="L752" s="30">
        <v>0</v>
      </c>
      <c r="M752" s="30">
        <v>0</v>
      </c>
    </row>
    <row r="753" spans="2:13" x14ac:dyDescent="0.25">
      <c r="B753" s="27">
        <v>750</v>
      </c>
      <c r="C753" s="29">
        <v>19.217689372452519</v>
      </c>
      <c r="D753" s="29">
        <v>0</v>
      </c>
      <c r="E753" s="29">
        <v>0</v>
      </c>
      <c r="F753" s="29">
        <v>27.541091583700538</v>
      </c>
      <c r="G753" s="29">
        <v>0</v>
      </c>
      <c r="H753" s="29">
        <v>44.509032505914796</v>
      </c>
      <c r="I753" s="29">
        <v>36.249378950297299</v>
      </c>
      <c r="J753" s="29">
        <v>0</v>
      </c>
      <c r="K753" s="29">
        <v>50.645757008416531</v>
      </c>
      <c r="L753" s="30">
        <v>0</v>
      </c>
      <c r="M753" s="30">
        <v>0</v>
      </c>
    </row>
    <row r="754" spans="2:13" x14ac:dyDescent="0.25">
      <c r="B754" s="27">
        <v>751</v>
      </c>
      <c r="C754" s="29">
        <v>44.589502261803737</v>
      </c>
      <c r="D754" s="29">
        <v>83.137032115911197</v>
      </c>
      <c r="E754" s="29">
        <v>0</v>
      </c>
      <c r="F754" s="29">
        <v>42.670676406850568</v>
      </c>
      <c r="G754" s="29">
        <v>0</v>
      </c>
      <c r="H754" s="29">
        <v>0</v>
      </c>
      <c r="I754" s="29">
        <v>0</v>
      </c>
      <c r="J754" s="29">
        <v>0</v>
      </c>
      <c r="K754" s="29">
        <v>0</v>
      </c>
      <c r="L754" s="30">
        <v>0</v>
      </c>
      <c r="M754" s="30">
        <v>0</v>
      </c>
    </row>
    <row r="755" spans="2:13" x14ac:dyDescent="0.25">
      <c r="B755" s="27">
        <v>752</v>
      </c>
      <c r="C755" s="29">
        <v>58.896727234903679</v>
      </c>
      <c r="D755" s="29">
        <v>84.432782397236338</v>
      </c>
      <c r="E755" s="29">
        <v>94.184122858390992</v>
      </c>
      <c r="F755" s="29">
        <v>0</v>
      </c>
      <c r="G755" s="29">
        <v>0</v>
      </c>
      <c r="H755" s="29">
        <v>0</v>
      </c>
      <c r="I755" s="29">
        <v>0</v>
      </c>
      <c r="J755" s="29">
        <v>0</v>
      </c>
      <c r="K755" s="29">
        <v>42.204568760658972</v>
      </c>
      <c r="L755" s="30">
        <v>0</v>
      </c>
      <c r="M755" s="30">
        <v>0</v>
      </c>
    </row>
    <row r="756" spans="2:13" x14ac:dyDescent="0.25">
      <c r="B756" s="27">
        <v>753</v>
      </c>
      <c r="C756" s="29">
        <v>54.424277876488951</v>
      </c>
      <c r="D756" s="29">
        <v>95.725428379534605</v>
      </c>
      <c r="E756" s="29">
        <v>122.51480837277859</v>
      </c>
      <c r="F756" s="29">
        <v>0</v>
      </c>
      <c r="G756" s="29">
        <v>0</v>
      </c>
      <c r="H756" s="29">
        <v>48.649955073173729</v>
      </c>
      <c r="I756" s="29">
        <v>0</v>
      </c>
      <c r="J756" s="29">
        <v>0</v>
      </c>
      <c r="K756" s="29">
        <v>51.608539665366109</v>
      </c>
      <c r="L756" s="30">
        <v>0</v>
      </c>
      <c r="M756" s="30">
        <v>0</v>
      </c>
    </row>
    <row r="757" spans="2:13" x14ac:dyDescent="0.25">
      <c r="B757" s="27">
        <v>754</v>
      </c>
      <c r="C757" s="29">
        <v>61.278246757086116</v>
      </c>
      <c r="D757" s="29">
        <v>68.112626824117228</v>
      </c>
      <c r="E757" s="29">
        <v>80.03374567736428</v>
      </c>
      <c r="F757" s="29">
        <v>46.822969773357563</v>
      </c>
      <c r="G757" s="29">
        <v>0</v>
      </c>
      <c r="H757" s="29">
        <v>0</v>
      </c>
      <c r="I757" s="29">
        <v>0</v>
      </c>
      <c r="J757" s="29">
        <v>0</v>
      </c>
      <c r="K757" s="29">
        <v>0</v>
      </c>
      <c r="L757" s="30">
        <v>0</v>
      </c>
      <c r="M757" s="30">
        <v>0</v>
      </c>
    </row>
    <row r="758" spans="2:13" x14ac:dyDescent="0.25">
      <c r="B758" s="27">
        <v>755</v>
      </c>
      <c r="C758" s="29">
        <v>44.994608562988105</v>
      </c>
      <c r="D758" s="29">
        <v>78.062867909748846</v>
      </c>
      <c r="E758" s="29">
        <v>105.72729492586095</v>
      </c>
      <c r="F758" s="29">
        <v>14.576817982046762</v>
      </c>
      <c r="G758" s="29">
        <v>0</v>
      </c>
      <c r="H758" s="29">
        <v>0</v>
      </c>
      <c r="I758" s="29">
        <v>0</v>
      </c>
      <c r="J758" s="29">
        <v>0</v>
      </c>
      <c r="K758" s="29">
        <v>42.084318863633193</v>
      </c>
      <c r="L758" s="30">
        <v>0</v>
      </c>
      <c r="M758" s="30">
        <v>0</v>
      </c>
    </row>
    <row r="759" spans="2:13" x14ac:dyDescent="0.25">
      <c r="B759" s="27">
        <v>756</v>
      </c>
      <c r="C759" s="29">
        <v>60.20291086424119</v>
      </c>
      <c r="D759" s="29">
        <v>74.981731603044054</v>
      </c>
      <c r="E759" s="29">
        <v>90.209030040134991</v>
      </c>
      <c r="F759" s="29">
        <v>42.923368121700726</v>
      </c>
      <c r="G759" s="29">
        <v>0</v>
      </c>
      <c r="H759" s="29">
        <v>0</v>
      </c>
      <c r="I759" s="29">
        <v>51.699499448237518</v>
      </c>
      <c r="J759" s="29">
        <v>0</v>
      </c>
      <c r="K759" s="29">
        <v>47.565637946882127</v>
      </c>
      <c r="L759" s="30">
        <v>50.739203516785935</v>
      </c>
      <c r="M759" s="30">
        <v>0</v>
      </c>
    </row>
    <row r="760" spans="2:13" x14ac:dyDescent="0.25">
      <c r="B760" s="27">
        <v>757</v>
      </c>
      <c r="C760" s="29">
        <v>40.237526376020085</v>
      </c>
      <c r="D760" s="29">
        <v>63.505854659765944</v>
      </c>
      <c r="E760" s="29">
        <v>100.35045735910933</v>
      </c>
      <c r="F760" s="29">
        <v>28.422520651720458</v>
      </c>
      <c r="G760" s="29">
        <v>0</v>
      </c>
      <c r="H760" s="29">
        <v>0</v>
      </c>
      <c r="I760" s="29">
        <v>0</v>
      </c>
      <c r="J760" s="29">
        <v>58.275414546127479</v>
      </c>
      <c r="K760" s="29">
        <v>52.971230164575701</v>
      </c>
      <c r="L760" s="30">
        <v>0</v>
      </c>
      <c r="M760" s="30">
        <v>0</v>
      </c>
    </row>
    <row r="761" spans="2:13" x14ac:dyDescent="0.25">
      <c r="B761" s="27">
        <v>758</v>
      </c>
      <c r="C761" s="29">
        <v>43.948513528338601</v>
      </c>
      <c r="D761" s="29">
        <v>0</v>
      </c>
      <c r="E761" s="29">
        <v>106.43745348159428</v>
      </c>
      <c r="F761" s="29">
        <v>0</v>
      </c>
      <c r="G761" s="29">
        <v>36.496442767035887</v>
      </c>
      <c r="H761" s="29">
        <v>0</v>
      </c>
      <c r="I761" s="29">
        <v>44.649793712307371</v>
      </c>
      <c r="J761" s="29">
        <v>47.059938901841328</v>
      </c>
      <c r="K761" s="29">
        <v>45.864021991802467</v>
      </c>
      <c r="L761" s="30">
        <v>0</v>
      </c>
      <c r="M761" s="30">
        <v>0</v>
      </c>
    </row>
    <row r="762" spans="2:13" x14ac:dyDescent="0.25">
      <c r="B762" s="27">
        <v>759</v>
      </c>
      <c r="C762" s="29">
        <v>58.125228108754506</v>
      </c>
      <c r="D762" s="29">
        <v>56.704563371715359</v>
      </c>
      <c r="E762" s="29">
        <v>0</v>
      </c>
      <c r="F762" s="29">
        <v>0</v>
      </c>
      <c r="G762" s="29">
        <v>0</v>
      </c>
      <c r="H762" s="29">
        <v>0</v>
      </c>
      <c r="I762" s="29">
        <v>0</v>
      </c>
      <c r="J762" s="29">
        <v>0</v>
      </c>
      <c r="K762" s="29">
        <v>43.750283898620125</v>
      </c>
      <c r="L762" s="30">
        <v>0</v>
      </c>
      <c r="M762" s="30">
        <v>0</v>
      </c>
    </row>
    <row r="763" spans="2:13" x14ac:dyDescent="0.25">
      <c r="B763" s="27">
        <v>760</v>
      </c>
      <c r="C763" s="29">
        <v>51.684588738490469</v>
      </c>
      <c r="D763" s="29">
        <v>75.358448515702378</v>
      </c>
      <c r="E763" s="29">
        <v>0</v>
      </c>
      <c r="F763" s="29">
        <v>22.080278243570085</v>
      </c>
      <c r="G763" s="29">
        <v>0</v>
      </c>
      <c r="H763" s="29">
        <v>0</v>
      </c>
      <c r="I763" s="29">
        <v>0</v>
      </c>
      <c r="J763" s="29">
        <v>0</v>
      </c>
      <c r="K763" s="29">
        <v>52.846415938798174</v>
      </c>
      <c r="L763" s="30">
        <v>0</v>
      </c>
      <c r="M763" s="30">
        <v>0</v>
      </c>
    </row>
    <row r="764" spans="2:13" x14ac:dyDescent="0.25">
      <c r="B764" s="27">
        <v>761</v>
      </c>
      <c r="C764" s="29">
        <v>0</v>
      </c>
      <c r="D764" s="29">
        <v>70.41148977069841</v>
      </c>
      <c r="E764" s="29">
        <v>85.342425213705766</v>
      </c>
      <c r="F764" s="29">
        <v>29.208262060624708</v>
      </c>
      <c r="G764" s="29">
        <v>0</v>
      </c>
      <c r="H764" s="29">
        <v>0</v>
      </c>
      <c r="I764" s="29">
        <v>0</v>
      </c>
      <c r="J764" s="29">
        <v>51.523391150309578</v>
      </c>
      <c r="K764" s="29">
        <v>31.402747997851456</v>
      </c>
      <c r="L764" s="30">
        <v>0</v>
      </c>
      <c r="M764" s="30">
        <v>0</v>
      </c>
    </row>
    <row r="765" spans="2:13" x14ac:dyDescent="0.25">
      <c r="B765" s="27">
        <v>762</v>
      </c>
      <c r="C765" s="29">
        <v>49.625718482835417</v>
      </c>
      <c r="D765" s="29">
        <v>77.155840528527108</v>
      </c>
      <c r="E765" s="29">
        <v>91.156724417198575</v>
      </c>
      <c r="F765" s="29">
        <v>0</v>
      </c>
      <c r="G765" s="29">
        <v>0</v>
      </c>
      <c r="H765" s="29">
        <v>23.358003754024782</v>
      </c>
      <c r="I765" s="29">
        <v>0</v>
      </c>
      <c r="J765" s="29">
        <v>0</v>
      </c>
      <c r="K765" s="29">
        <v>15.53878239306588</v>
      </c>
      <c r="L765" s="30">
        <v>0</v>
      </c>
      <c r="M765" s="30">
        <v>0</v>
      </c>
    </row>
    <row r="766" spans="2:13" x14ac:dyDescent="0.25">
      <c r="B766" s="27">
        <v>763</v>
      </c>
      <c r="C766" s="29">
        <v>23.548744307662794</v>
      </c>
      <c r="D766" s="29">
        <v>71.176505147421665</v>
      </c>
      <c r="E766" s="29">
        <v>84.650967250888627</v>
      </c>
      <c r="F766" s="29">
        <v>33.244153021203104</v>
      </c>
      <c r="G766" s="29">
        <v>33.233035025975624</v>
      </c>
      <c r="H766" s="29">
        <v>0</v>
      </c>
      <c r="I766" s="29">
        <v>0</v>
      </c>
      <c r="J766" s="29">
        <v>0</v>
      </c>
      <c r="K766" s="29">
        <v>35.811458332920154</v>
      </c>
      <c r="L766" s="30">
        <v>0</v>
      </c>
      <c r="M766" s="30">
        <v>0</v>
      </c>
    </row>
    <row r="767" spans="2:13" x14ac:dyDescent="0.25">
      <c r="B767" s="27">
        <v>764</v>
      </c>
      <c r="C767" s="29">
        <v>43.406147735529743</v>
      </c>
      <c r="D767" s="29">
        <v>90.685743125585205</v>
      </c>
      <c r="E767" s="29">
        <v>0</v>
      </c>
      <c r="F767" s="29">
        <v>36.519885453001756</v>
      </c>
      <c r="G767" s="29">
        <v>0</v>
      </c>
      <c r="H767" s="29">
        <v>0</v>
      </c>
      <c r="I767" s="29">
        <v>31.841621837038428</v>
      </c>
      <c r="J767" s="29">
        <v>0</v>
      </c>
      <c r="K767" s="29">
        <v>39.449913697165627</v>
      </c>
      <c r="L767" s="30">
        <v>0</v>
      </c>
      <c r="M767" s="30">
        <v>0</v>
      </c>
    </row>
    <row r="768" spans="2:13" x14ac:dyDescent="0.25">
      <c r="B768" s="27">
        <v>765</v>
      </c>
      <c r="C768" s="29">
        <v>62.442012317780886</v>
      </c>
      <c r="D768" s="29">
        <v>66.848324513463709</v>
      </c>
      <c r="E768" s="29">
        <v>0</v>
      </c>
      <c r="F768" s="29">
        <v>0</v>
      </c>
      <c r="G768" s="29">
        <v>0</v>
      </c>
      <c r="H768" s="29">
        <v>0</v>
      </c>
      <c r="I768" s="29">
        <v>0</v>
      </c>
      <c r="J768" s="29">
        <v>0</v>
      </c>
      <c r="K768" s="29">
        <v>0</v>
      </c>
      <c r="L768" s="30">
        <v>42.615828204982456</v>
      </c>
      <c r="M768" s="30">
        <v>0</v>
      </c>
    </row>
    <row r="769" spans="2:13" x14ac:dyDescent="0.25">
      <c r="B769" s="27">
        <v>766</v>
      </c>
      <c r="C769" s="29">
        <v>50.141332652616576</v>
      </c>
      <c r="D769" s="29">
        <v>75.966871200216943</v>
      </c>
      <c r="E769" s="29">
        <v>0</v>
      </c>
      <c r="F769" s="29">
        <v>62.948553340954028</v>
      </c>
      <c r="G769" s="29">
        <v>0</v>
      </c>
      <c r="H769" s="29">
        <v>0</v>
      </c>
      <c r="I769" s="29">
        <v>35.836671210138086</v>
      </c>
      <c r="J769" s="29">
        <v>0</v>
      </c>
      <c r="K769" s="29">
        <v>57.505935573987244</v>
      </c>
      <c r="L769" s="30">
        <v>0</v>
      </c>
      <c r="M769" s="30">
        <v>0</v>
      </c>
    </row>
    <row r="770" spans="2:13" x14ac:dyDescent="0.25">
      <c r="B770" s="27">
        <v>767</v>
      </c>
      <c r="C770" s="29">
        <v>52.836945740055185</v>
      </c>
      <c r="D770" s="29">
        <v>67.036286599514384</v>
      </c>
      <c r="E770" s="29">
        <v>0</v>
      </c>
      <c r="F770" s="29">
        <v>28.199553353291527</v>
      </c>
      <c r="G770" s="29">
        <v>0</v>
      </c>
      <c r="H770" s="29">
        <v>31.363350595825288</v>
      </c>
      <c r="I770" s="29">
        <v>45.379527038542555</v>
      </c>
      <c r="J770" s="29">
        <v>0</v>
      </c>
      <c r="K770" s="29">
        <v>52.225642451897983</v>
      </c>
      <c r="L770" s="30">
        <v>0</v>
      </c>
      <c r="M770" s="30">
        <v>0</v>
      </c>
    </row>
    <row r="771" spans="2:13" x14ac:dyDescent="0.25">
      <c r="B771" s="27">
        <v>768</v>
      </c>
      <c r="C771" s="29">
        <v>0</v>
      </c>
      <c r="D771" s="29">
        <v>72.701702267014042</v>
      </c>
      <c r="E771" s="29">
        <v>104.71115921422823</v>
      </c>
      <c r="F771" s="29">
        <v>28.709503926622119</v>
      </c>
      <c r="G771" s="29">
        <v>0</v>
      </c>
      <c r="H771" s="29">
        <v>37.032671470790277</v>
      </c>
      <c r="I771" s="29">
        <v>0</v>
      </c>
      <c r="J771" s="29">
        <v>0</v>
      </c>
      <c r="K771" s="29">
        <v>37.126257353224489</v>
      </c>
      <c r="L771" s="30">
        <v>0</v>
      </c>
      <c r="M771" s="30">
        <v>0</v>
      </c>
    </row>
    <row r="772" spans="2:13" x14ac:dyDescent="0.25">
      <c r="B772" s="27">
        <v>769</v>
      </c>
      <c r="C772" s="29">
        <v>46.134193801933314</v>
      </c>
      <c r="D772" s="29">
        <v>61.688349862897958</v>
      </c>
      <c r="E772" s="29">
        <v>116.29233808157673</v>
      </c>
      <c r="F772" s="29">
        <v>40.272184651479805</v>
      </c>
      <c r="G772" s="29">
        <v>0</v>
      </c>
      <c r="H772" s="29">
        <v>0</v>
      </c>
      <c r="I772" s="29">
        <v>61.359983482381793</v>
      </c>
      <c r="J772" s="29">
        <v>0</v>
      </c>
      <c r="K772" s="29">
        <v>0</v>
      </c>
      <c r="L772" s="30">
        <v>0</v>
      </c>
      <c r="M772" s="30">
        <v>0</v>
      </c>
    </row>
    <row r="773" spans="2:13" x14ac:dyDescent="0.25">
      <c r="B773" s="27">
        <v>770</v>
      </c>
      <c r="C773" s="29">
        <v>45.179639919429107</v>
      </c>
      <c r="D773" s="29">
        <v>92.406517448063042</v>
      </c>
      <c r="E773" s="29">
        <v>117.01103852270474</v>
      </c>
      <c r="F773" s="29">
        <v>29.89316635118595</v>
      </c>
      <c r="G773" s="29">
        <v>0</v>
      </c>
      <c r="H773" s="29">
        <v>27.941304340301134</v>
      </c>
      <c r="I773" s="29">
        <v>0</v>
      </c>
      <c r="J773" s="29">
        <v>0</v>
      </c>
      <c r="K773" s="29">
        <v>42.481789655652129</v>
      </c>
      <c r="L773" s="30">
        <v>0</v>
      </c>
      <c r="M773" s="30">
        <v>0</v>
      </c>
    </row>
    <row r="774" spans="2:13" x14ac:dyDescent="0.25">
      <c r="B774" s="27">
        <v>771</v>
      </c>
      <c r="C774" s="29">
        <v>40.282191639136535</v>
      </c>
      <c r="D774" s="29">
        <v>68.412651375015741</v>
      </c>
      <c r="E774" s="29">
        <v>83.213416197588771</v>
      </c>
      <c r="F774" s="29">
        <v>35.629911993726438</v>
      </c>
      <c r="G774" s="29">
        <v>0</v>
      </c>
      <c r="H774" s="29">
        <v>53.960430000328714</v>
      </c>
      <c r="I774" s="29">
        <v>0</v>
      </c>
      <c r="J774" s="29">
        <v>0</v>
      </c>
      <c r="K774" s="29">
        <v>42.672993944305233</v>
      </c>
      <c r="L774" s="30">
        <v>0</v>
      </c>
      <c r="M774" s="30">
        <v>0</v>
      </c>
    </row>
    <row r="775" spans="2:13" x14ac:dyDescent="0.25">
      <c r="B775" s="27">
        <v>772</v>
      </c>
      <c r="C775" s="29">
        <v>35.734053994869527</v>
      </c>
      <c r="D775" s="29">
        <v>74.544724207594129</v>
      </c>
      <c r="E775" s="29">
        <v>0</v>
      </c>
      <c r="F775" s="29">
        <v>57.706868770381853</v>
      </c>
      <c r="G775" s="29">
        <v>0</v>
      </c>
      <c r="H775" s="29">
        <v>41.556288394429274</v>
      </c>
      <c r="I775" s="29">
        <v>58.271221098381467</v>
      </c>
      <c r="J775" s="29">
        <v>0</v>
      </c>
      <c r="K775" s="29">
        <v>19.442087965834745</v>
      </c>
      <c r="L775" s="30">
        <v>0</v>
      </c>
      <c r="M775" s="30">
        <v>0</v>
      </c>
    </row>
    <row r="776" spans="2:13" x14ac:dyDescent="0.25">
      <c r="B776" s="27">
        <v>773</v>
      </c>
      <c r="C776" s="29">
        <v>48.408193335319659</v>
      </c>
      <c r="D776" s="29">
        <v>84.308086635819251</v>
      </c>
      <c r="E776" s="29">
        <v>92.807148693263201</v>
      </c>
      <c r="F776" s="29">
        <v>27.782692992476083</v>
      </c>
      <c r="G776" s="29">
        <v>0</v>
      </c>
      <c r="H776" s="29">
        <v>0</v>
      </c>
      <c r="I776" s="29">
        <v>0</v>
      </c>
      <c r="J776" s="29">
        <v>18.951604300404945</v>
      </c>
      <c r="K776" s="29">
        <v>42.410019538613426</v>
      </c>
      <c r="L776" s="30">
        <v>0</v>
      </c>
      <c r="M776" s="30">
        <v>0</v>
      </c>
    </row>
    <row r="777" spans="2:13" x14ac:dyDescent="0.25">
      <c r="B777" s="27">
        <v>774</v>
      </c>
      <c r="C777" s="29">
        <v>43.939050935046225</v>
      </c>
      <c r="D777" s="29">
        <v>77.786624896923811</v>
      </c>
      <c r="E777" s="29">
        <v>0</v>
      </c>
      <c r="F777" s="29">
        <v>32.587188252429335</v>
      </c>
      <c r="G777" s="29">
        <v>0</v>
      </c>
      <c r="H777" s="29">
        <v>0</v>
      </c>
      <c r="I777" s="29">
        <v>0</v>
      </c>
      <c r="J777" s="29">
        <v>46.014697121488844</v>
      </c>
      <c r="K777" s="29">
        <v>57.385539824277956</v>
      </c>
      <c r="L777" s="30">
        <v>0</v>
      </c>
      <c r="M777" s="30">
        <v>0</v>
      </c>
    </row>
    <row r="778" spans="2:13" x14ac:dyDescent="0.25">
      <c r="B778" s="27">
        <v>775</v>
      </c>
      <c r="C778" s="29">
        <v>53.407886056925186</v>
      </c>
      <c r="D778" s="29">
        <v>81.694703440501513</v>
      </c>
      <c r="E778" s="29">
        <v>78.21173469454294</v>
      </c>
      <c r="F778" s="29">
        <v>36.029181315971357</v>
      </c>
      <c r="G778" s="29">
        <v>0</v>
      </c>
      <c r="H778" s="29">
        <v>0</v>
      </c>
      <c r="I778" s="29">
        <v>0</v>
      </c>
      <c r="J778" s="29">
        <v>0</v>
      </c>
      <c r="K778" s="29">
        <v>42.417570229436784</v>
      </c>
      <c r="L778" s="30">
        <v>0</v>
      </c>
      <c r="M778" s="30">
        <v>0</v>
      </c>
    </row>
    <row r="779" spans="2:13" x14ac:dyDescent="0.25">
      <c r="B779" s="27">
        <v>776</v>
      </c>
      <c r="C779" s="29">
        <v>43.22543152750594</v>
      </c>
      <c r="D779" s="29">
        <v>65.894212910615721</v>
      </c>
      <c r="E779" s="29">
        <v>113.97490960109624</v>
      </c>
      <c r="F779" s="29">
        <v>44.872991155486169</v>
      </c>
      <c r="G779" s="29">
        <v>0</v>
      </c>
      <c r="H779" s="29">
        <v>30.748546285131216</v>
      </c>
      <c r="I779" s="29">
        <v>0</v>
      </c>
      <c r="J779" s="29">
        <v>0</v>
      </c>
      <c r="K779" s="29">
        <v>52.173772367612699</v>
      </c>
      <c r="L779" s="30">
        <v>0</v>
      </c>
      <c r="M779" s="30">
        <v>0</v>
      </c>
    </row>
    <row r="780" spans="2:13" x14ac:dyDescent="0.25">
      <c r="B780" s="27">
        <v>777</v>
      </c>
      <c r="C780" s="29">
        <v>45.256337713647433</v>
      </c>
      <c r="D780" s="29">
        <v>67.631589866296437</v>
      </c>
      <c r="E780" s="29">
        <v>112.94579865933812</v>
      </c>
      <c r="F780" s="29">
        <v>0</v>
      </c>
      <c r="G780" s="29">
        <v>0</v>
      </c>
      <c r="H780" s="29">
        <v>0</v>
      </c>
      <c r="I780" s="29">
        <v>0</v>
      </c>
      <c r="J780" s="29">
        <v>40.872575083645259</v>
      </c>
      <c r="K780" s="29">
        <v>51.826672705297064</v>
      </c>
      <c r="L780" s="30">
        <v>0</v>
      </c>
      <c r="M780" s="30">
        <v>0</v>
      </c>
    </row>
    <row r="781" spans="2:13" x14ac:dyDescent="0.25">
      <c r="B781" s="27">
        <v>778</v>
      </c>
      <c r="C781" s="29">
        <v>0</v>
      </c>
      <c r="D781" s="29">
        <v>72.25442564260473</v>
      </c>
      <c r="E781" s="29">
        <v>83.743514036583392</v>
      </c>
      <c r="F781" s="29">
        <v>0</v>
      </c>
      <c r="G781" s="29">
        <v>0</v>
      </c>
      <c r="H781" s="29">
        <v>0</v>
      </c>
      <c r="I781" s="29">
        <v>0</v>
      </c>
      <c r="J781" s="29">
        <v>0</v>
      </c>
      <c r="K781" s="29">
        <v>62.776948678261732</v>
      </c>
      <c r="L781" s="30">
        <v>0</v>
      </c>
      <c r="M781" s="30">
        <v>0</v>
      </c>
    </row>
    <row r="782" spans="2:13" x14ac:dyDescent="0.25">
      <c r="B782" s="27">
        <v>779</v>
      </c>
      <c r="C782" s="29">
        <v>48.977688287570068</v>
      </c>
      <c r="D782" s="29">
        <v>71.651230602165271</v>
      </c>
      <c r="E782" s="29">
        <v>0</v>
      </c>
      <c r="F782" s="29">
        <v>37.777586836673876</v>
      </c>
      <c r="G782" s="29">
        <v>0</v>
      </c>
      <c r="H782" s="29">
        <v>0</v>
      </c>
      <c r="I782" s="29">
        <v>0</v>
      </c>
      <c r="J782" s="29">
        <v>0</v>
      </c>
      <c r="K782" s="29">
        <v>28.319894026585875</v>
      </c>
      <c r="L782" s="30">
        <v>0</v>
      </c>
      <c r="M782" s="30">
        <v>0</v>
      </c>
    </row>
    <row r="783" spans="2:13" x14ac:dyDescent="0.25">
      <c r="B783" s="27">
        <v>780</v>
      </c>
      <c r="C783" s="29">
        <v>0</v>
      </c>
      <c r="D783" s="29">
        <v>69.669624790741437</v>
      </c>
      <c r="E783" s="29">
        <v>97.565358929065283</v>
      </c>
      <c r="F783" s="29">
        <v>0</v>
      </c>
      <c r="G783" s="29">
        <v>0</v>
      </c>
      <c r="H783" s="29">
        <v>31.43194901873774</v>
      </c>
      <c r="I783" s="29">
        <v>57.424815800877994</v>
      </c>
      <c r="J783" s="29">
        <v>0</v>
      </c>
      <c r="K783" s="29">
        <v>50.358340779077054</v>
      </c>
      <c r="L783" s="30">
        <v>0</v>
      </c>
      <c r="M783" s="30">
        <v>0</v>
      </c>
    </row>
    <row r="784" spans="2:13" x14ac:dyDescent="0.25">
      <c r="B784" s="27">
        <v>781</v>
      </c>
      <c r="C784" s="29">
        <v>0</v>
      </c>
      <c r="D784" s="29">
        <v>0</v>
      </c>
      <c r="E784" s="29">
        <v>100.58109898945516</v>
      </c>
      <c r="F784" s="29">
        <v>22.506285796066415</v>
      </c>
      <c r="G784" s="29">
        <v>0</v>
      </c>
      <c r="H784" s="29">
        <v>0</v>
      </c>
      <c r="I784" s="29">
        <v>0</v>
      </c>
      <c r="J784" s="29">
        <v>0</v>
      </c>
      <c r="K784" s="29">
        <v>46.684695426955074</v>
      </c>
      <c r="L784" s="30">
        <v>0</v>
      </c>
      <c r="M784" s="30">
        <v>0</v>
      </c>
    </row>
    <row r="785" spans="2:13" x14ac:dyDescent="0.25">
      <c r="B785" s="27">
        <v>782</v>
      </c>
      <c r="C785" s="29">
        <v>50.035088954701529</v>
      </c>
      <c r="D785" s="29">
        <v>68.718059024859755</v>
      </c>
      <c r="E785" s="29">
        <v>0</v>
      </c>
      <c r="F785" s="29">
        <v>53.406307227806892</v>
      </c>
      <c r="G785" s="29">
        <v>0</v>
      </c>
      <c r="H785" s="29">
        <v>0</v>
      </c>
      <c r="I785" s="29">
        <v>0</v>
      </c>
      <c r="J785" s="29">
        <v>0</v>
      </c>
      <c r="K785" s="29">
        <v>48.551997640505348</v>
      </c>
      <c r="L785" s="30">
        <v>0</v>
      </c>
      <c r="M785" s="30">
        <v>0</v>
      </c>
    </row>
    <row r="786" spans="2:13" x14ac:dyDescent="0.25">
      <c r="B786" s="27">
        <v>783</v>
      </c>
      <c r="C786" s="29">
        <v>32.513926579753885</v>
      </c>
      <c r="D786" s="29">
        <v>72.580206119088942</v>
      </c>
      <c r="E786" s="29">
        <v>84.579899979941587</v>
      </c>
      <c r="F786" s="29">
        <v>43.861976555570649</v>
      </c>
      <c r="G786" s="29">
        <v>0</v>
      </c>
      <c r="H786" s="29">
        <v>0</v>
      </c>
      <c r="I786" s="29">
        <v>46.769228925741537</v>
      </c>
      <c r="J786" s="29">
        <v>0</v>
      </c>
      <c r="K786" s="29">
        <v>0</v>
      </c>
      <c r="L786" s="30">
        <v>0</v>
      </c>
      <c r="M786" s="30">
        <v>0</v>
      </c>
    </row>
    <row r="787" spans="2:13" x14ac:dyDescent="0.25">
      <c r="B787" s="27">
        <v>784</v>
      </c>
      <c r="C787" s="29">
        <v>39.540392805049166</v>
      </c>
      <c r="D787" s="29">
        <v>62.929243354342518</v>
      </c>
      <c r="E787" s="29">
        <v>0</v>
      </c>
      <c r="F787" s="29">
        <v>54.289013483557582</v>
      </c>
      <c r="G787" s="29">
        <v>66.636014112538646</v>
      </c>
      <c r="H787" s="29">
        <v>0</v>
      </c>
      <c r="I787" s="29">
        <v>0</v>
      </c>
      <c r="J787" s="29">
        <v>0</v>
      </c>
      <c r="K787" s="29">
        <v>41.888330244396144</v>
      </c>
      <c r="L787" s="30">
        <v>0</v>
      </c>
      <c r="M787" s="30">
        <v>0</v>
      </c>
    </row>
    <row r="788" spans="2:13" x14ac:dyDescent="0.25">
      <c r="B788" s="27">
        <v>785</v>
      </c>
      <c r="C788" s="29">
        <v>37.059901324537726</v>
      </c>
      <c r="D788" s="29">
        <v>0</v>
      </c>
      <c r="E788" s="29">
        <v>121.93841745668024</v>
      </c>
      <c r="F788" s="29">
        <v>0</v>
      </c>
      <c r="G788" s="29">
        <v>0</v>
      </c>
      <c r="H788" s="29">
        <v>0</v>
      </c>
      <c r="I788" s="29">
        <v>51.596439388713804</v>
      </c>
      <c r="J788" s="29">
        <v>0</v>
      </c>
      <c r="K788" s="29">
        <v>0</v>
      </c>
      <c r="L788" s="30">
        <v>0</v>
      </c>
      <c r="M788" s="30">
        <v>0</v>
      </c>
    </row>
    <row r="789" spans="2:13" x14ac:dyDescent="0.25">
      <c r="B789" s="27">
        <v>786</v>
      </c>
      <c r="C789" s="29">
        <v>0</v>
      </c>
      <c r="D789" s="29">
        <v>76.720214890317067</v>
      </c>
      <c r="E789" s="29">
        <v>80.408943598989111</v>
      </c>
      <c r="F789" s="29">
        <v>49.188555992706249</v>
      </c>
      <c r="G789" s="29">
        <v>0</v>
      </c>
      <c r="H789" s="29">
        <v>0</v>
      </c>
      <c r="I789" s="29">
        <v>44.664184025245632</v>
      </c>
      <c r="J789" s="29">
        <v>0</v>
      </c>
      <c r="K789" s="29">
        <v>0</v>
      </c>
      <c r="L789" s="30">
        <v>0</v>
      </c>
      <c r="M789" s="30">
        <v>0</v>
      </c>
    </row>
    <row r="790" spans="2:13" x14ac:dyDescent="0.25">
      <c r="B790" s="27">
        <v>787</v>
      </c>
      <c r="C790" s="29">
        <v>0</v>
      </c>
      <c r="D790" s="29">
        <v>79.846603937793731</v>
      </c>
      <c r="E790" s="29">
        <v>77.984266206117425</v>
      </c>
      <c r="F790" s="29">
        <v>52.059262044456688</v>
      </c>
      <c r="G790" s="29">
        <v>0</v>
      </c>
      <c r="H790" s="29">
        <v>0</v>
      </c>
      <c r="I790" s="29">
        <v>0</v>
      </c>
      <c r="J790" s="29">
        <v>0</v>
      </c>
      <c r="K790" s="29">
        <v>31.024388867060022</v>
      </c>
      <c r="L790" s="30">
        <v>60.365080663064802</v>
      </c>
      <c r="M790" s="30">
        <v>0</v>
      </c>
    </row>
    <row r="791" spans="2:13" x14ac:dyDescent="0.25">
      <c r="B791" s="27">
        <v>788</v>
      </c>
      <c r="C791" s="29">
        <v>27.406727615190341</v>
      </c>
      <c r="D791" s="29">
        <v>88.676284693036337</v>
      </c>
      <c r="E791" s="29">
        <v>135.72588561566084</v>
      </c>
      <c r="F791" s="29">
        <v>47.106132201109908</v>
      </c>
      <c r="G791" s="29">
        <v>0</v>
      </c>
      <c r="H791" s="29">
        <v>0</v>
      </c>
      <c r="I791" s="29">
        <v>38.759453961468814</v>
      </c>
      <c r="J791" s="29">
        <v>0</v>
      </c>
      <c r="K791" s="29">
        <v>34.642450193828054</v>
      </c>
      <c r="L791" s="30">
        <v>0</v>
      </c>
      <c r="M791" s="30">
        <v>0</v>
      </c>
    </row>
    <row r="792" spans="2:13" x14ac:dyDescent="0.25">
      <c r="B792" s="27">
        <v>789</v>
      </c>
      <c r="C792" s="29">
        <v>18.759844440371829</v>
      </c>
      <c r="D792" s="29">
        <v>68.391835069769883</v>
      </c>
      <c r="E792" s="29">
        <v>142.40190923973074</v>
      </c>
      <c r="F792" s="29">
        <v>47.501575974577868</v>
      </c>
      <c r="G792" s="29">
        <v>0</v>
      </c>
      <c r="H792" s="29">
        <v>0</v>
      </c>
      <c r="I792" s="29">
        <v>0</v>
      </c>
      <c r="J792" s="29">
        <v>0</v>
      </c>
      <c r="K792" s="29">
        <v>48.026974020903644</v>
      </c>
      <c r="L792" s="30">
        <v>0</v>
      </c>
      <c r="M792" s="30">
        <v>0</v>
      </c>
    </row>
    <row r="793" spans="2:13" x14ac:dyDescent="0.25">
      <c r="B793" s="27">
        <v>790</v>
      </c>
      <c r="C793" s="29">
        <v>40.595228400750202</v>
      </c>
      <c r="D793" s="29">
        <v>62.006322137748811</v>
      </c>
      <c r="E793" s="29">
        <v>85.854774739221369</v>
      </c>
      <c r="F793" s="29">
        <v>44.524344060041557</v>
      </c>
      <c r="G793" s="29">
        <v>0</v>
      </c>
      <c r="H793" s="29">
        <v>0</v>
      </c>
      <c r="I793" s="29">
        <v>0</v>
      </c>
      <c r="J793" s="29">
        <v>0</v>
      </c>
      <c r="K793" s="29">
        <v>54.893546039450655</v>
      </c>
      <c r="L793" s="30">
        <v>0</v>
      </c>
      <c r="M793" s="30">
        <v>0</v>
      </c>
    </row>
    <row r="794" spans="2:13" x14ac:dyDescent="0.25">
      <c r="B794" s="27">
        <v>791</v>
      </c>
      <c r="C794" s="29">
        <v>38.27265324588739</v>
      </c>
      <c r="D794" s="29">
        <v>54.104189798571596</v>
      </c>
      <c r="E794" s="29">
        <v>72.478084053856008</v>
      </c>
      <c r="F794" s="29">
        <v>45.25425119867176</v>
      </c>
      <c r="G794" s="29">
        <v>0</v>
      </c>
      <c r="H794" s="29">
        <v>0</v>
      </c>
      <c r="I794" s="29">
        <v>31.877415984270854</v>
      </c>
      <c r="J794" s="29">
        <v>0</v>
      </c>
      <c r="K794" s="29">
        <v>25.176482335247641</v>
      </c>
      <c r="L794" s="30">
        <v>0</v>
      </c>
      <c r="M794" s="30">
        <v>0</v>
      </c>
    </row>
    <row r="795" spans="2:13" x14ac:dyDescent="0.25">
      <c r="B795" s="27">
        <v>792</v>
      </c>
      <c r="C795" s="29">
        <v>67.253093839693577</v>
      </c>
      <c r="D795" s="29">
        <v>72.346424076864139</v>
      </c>
      <c r="E795" s="29">
        <v>77.455786482940724</v>
      </c>
      <c r="F795" s="29">
        <v>38.718442166568678</v>
      </c>
      <c r="G795" s="29">
        <v>0</v>
      </c>
      <c r="H795" s="29">
        <v>0</v>
      </c>
      <c r="I795" s="29">
        <v>0</v>
      </c>
      <c r="J795" s="29">
        <v>0</v>
      </c>
      <c r="K795" s="29">
        <v>0</v>
      </c>
      <c r="L795" s="30">
        <v>0</v>
      </c>
      <c r="M795" s="30">
        <v>0</v>
      </c>
    </row>
    <row r="796" spans="2:13" x14ac:dyDescent="0.25">
      <c r="B796" s="27">
        <v>793</v>
      </c>
      <c r="C796" s="29">
        <v>44.801086936407835</v>
      </c>
      <c r="D796" s="29">
        <v>81.700629102594462</v>
      </c>
      <c r="E796" s="29">
        <v>0</v>
      </c>
      <c r="F796" s="29">
        <v>0</v>
      </c>
      <c r="G796" s="29">
        <v>0</v>
      </c>
      <c r="H796" s="29">
        <v>25.939384713854974</v>
      </c>
      <c r="I796" s="29">
        <v>34.020488738085106</v>
      </c>
      <c r="J796" s="29">
        <v>0</v>
      </c>
      <c r="K796" s="29">
        <v>54.081678838280979</v>
      </c>
      <c r="L796" s="30">
        <v>0</v>
      </c>
      <c r="M796" s="30">
        <v>0</v>
      </c>
    </row>
    <row r="797" spans="2:13" x14ac:dyDescent="0.25">
      <c r="B797" s="27">
        <v>794</v>
      </c>
      <c r="C797" s="29">
        <v>68.642099896659204</v>
      </c>
      <c r="D797" s="29">
        <v>54.499309301363681</v>
      </c>
      <c r="E797" s="29">
        <v>0</v>
      </c>
      <c r="F797" s="29">
        <v>34.87227043849056</v>
      </c>
      <c r="G797" s="29">
        <v>0</v>
      </c>
      <c r="H797" s="29">
        <v>0</v>
      </c>
      <c r="I797" s="29">
        <v>0</v>
      </c>
      <c r="J797" s="29">
        <v>0</v>
      </c>
      <c r="K797" s="29">
        <v>49.118813046918156</v>
      </c>
      <c r="L797" s="30">
        <v>37.021123378512783</v>
      </c>
      <c r="M797" s="30">
        <v>0</v>
      </c>
    </row>
    <row r="798" spans="2:13" x14ac:dyDescent="0.25">
      <c r="B798" s="27">
        <v>795</v>
      </c>
      <c r="C798" s="29">
        <v>48.194869780532784</v>
      </c>
      <c r="D798" s="29">
        <v>82.404713291941221</v>
      </c>
      <c r="E798" s="29">
        <v>0</v>
      </c>
      <c r="F798" s="29">
        <v>40.559901228823158</v>
      </c>
      <c r="G798" s="29">
        <v>0</v>
      </c>
      <c r="H798" s="29">
        <v>0</v>
      </c>
      <c r="I798" s="29">
        <v>50.412442546798289</v>
      </c>
      <c r="J798" s="29">
        <v>0</v>
      </c>
      <c r="K798" s="29">
        <v>42.838606342531122</v>
      </c>
      <c r="L798" s="30">
        <v>0</v>
      </c>
      <c r="M798" s="30">
        <v>0</v>
      </c>
    </row>
    <row r="799" spans="2:13" x14ac:dyDescent="0.25">
      <c r="B799" s="27">
        <v>796</v>
      </c>
      <c r="C799" s="29">
        <v>43.422636299729341</v>
      </c>
      <c r="D799" s="29">
        <v>85.205660240230301</v>
      </c>
      <c r="E799" s="29">
        <v>140.25677729122421</v>
      </c>
      <c r="F799" s="29">
        <v>41.505278882862569</v>
      </c>
      <c r="G799" s="29">
        <v>0</v>
      </c>
      <c r="H799" s="29">
        <v>0</v>
      </c>
      <c r="I799" s="29">
        <v>0</v>
      </c>
      <c r="J799" s="29">
        <v>0</v>
      </c>
      <c r="K799" s="29">
        <v>42.679487930414716</v>
      </c>
      <c r="L799" s="30">
        <v>0</v>
      </c>
      <c r="M799" s="30">
        <v>0</v>
      </c>
    </row>
    <row r="800" spans="2:13" x14ac:dyDescent="0.25">
      <c r="B800" s="27">
        <v>797</v>
      </c>
      <c r="C800" s="29">
        <v>42.351267378760646</v>
      </c>
      <c r="D800" s="29">
        <v>77.95368855847353</v>
      </c>
      <c r="E800" s="29">
        <v>71.957494854837961</v>
      </c>
      <c r="F800" s="29">
        <v>0</v>
      </c>
      <c r="G800" s="29">
        <v>0</v>
      </c>
      <c r="H800" s="29">
        <v>0</v>
      </c>
      <c r="I800" s="29">
        <v>0</v>
      </c>
      <c r="J800" s="29">
        <v>50.839705674702053</v>
      </c>
      <c r="K800" s="29">
        <v>56.388669434480924</v>
      </c>
      <c r="L800" s="30">
        <v>0</v>
      </c>
      <c r="M800" s="30">
        <v>0</v>
      </c>
    </row>
    <row r="801" spans="2:13" x14ac:dyDescent="0.25">
      <c r="B801" s="27">
        <v>798</v>
      </c>
      <c r="C801" s="29">
        <v>51.238246015410596</v>
      </c>
      <c r="D801" s="29">
        <v>0</v>
      </c>
      <c r="E801" s="29">
        <v>79.576689480235487</v>
      </c>
      <c r="F801" s="29">
        <v>54.697769388255217</v>
      </c>
      <c r="G801" s="29">
        <v>0</v>
      </c>
      <c r="H801" s="29">
        <v>0</v>
      </c>
      <c r="I801" s="29">
        <v>51.200794504245039</v>
      </c>
      <c r="J801" s="29">
        <v>0</v>
      </c>
      <c r="K801" s="29">
        <v>0</v>
      </c>
      <c r="L801" s="30">
        <v>0</v>
      </c>
      <c r="M801" s="30">
        <v>0</v>
      </c>
    </row>
    <row r="802" spans="2:13" x14ac:dyDescent="0.25">
      <c r="B802" s="27">
        <v>799</v>
      </c>
      <c r="C802" s="29">
        <v>48.679693054897982</v>
      </c>
      <c r="D802" s="29">
        <v>82.861686822458978</v>
      </c>
      <c r="E802" s="29">
        <v>94.44976547097022</v>
      </c>
      <c r="F802" s="29">
        <v>44.754694136464401</v>
      </c>
      <c r="G802" s="29">
        <v>0</v>
      </c>
      <c r="H802" s="29">
        <v>51.181411445711873</v>
      </c>
      <c r="I802" s="29">
        <v>49.012143475871611</v>
      </c>
      <c r="J802" s="29">
        <v>0</v>
      </c>
      <c r="K802" s="29">
        <v>52.537752690988526</v>
      </c>
      <c r="L802" s="30">
        <v>0</v>
      </c>
      <c r="M802" s="30">
        <v>0</v>
      </c>
    </row>
    <row r="803" spans="2:13" x14ac:dyDescent="0.25">
      <c r="B803" s="27">
        <v>800</v>
      </c>
      <c r="C803" s="29">
        <v>0</v>
      </c>
      <c r="D803" s="29">
        <v>77.941056166268083</v>
      </c>
      <c r="E803" s="29">
        <v>86.190493228235226</v>
      </c>
      <c r="F803" s="29">
        <v>52.95667647970906</v>
      </c>
      <c r="G803" s="29">
        <v>0</v>
      </c>
      <c r="H803" s="29">
        <v>0</v>
      </c>
      <c r="I803" s="29">
        <v>0</v>
      </c>
      <c r="J803" s="29">
        <v>0</v>
      </c>
      <c r="K803" s="29">
        <v>47.488024723036901</v>
      </c>
      <c r="L803" s="30">
        <v>0</v>
      </c>
      <c r="M803" s="30">
        <v>0</v>
      </c>
    </row>
    <row r="804" spans="2:13" x14ac:dyDescent="0.25">
      <c r="B804" s="27">
        <v>801</v>
      </c>
      <c r="C804" s="29">
        <v>52.086338106011439</v>
      </c>
      <c r="D804" s="29">
        <v>71.892328558730483</v>
      </c>
      <c r="E804" s="29">
        <v>0</v>
      </c>
      <c r="F804" s="29">
        <v>52.154239227864721</v>
      </c>
      <c r="G804" s="29">
        <v>0</v>
      </c>
      <c r="H804" s="29">
        <v>0</v>
      </c>
      <c r="I804" s="29">
        <v>0</v>
      </c>
      <c r="J804" s="29">
        <v>44.936741842368129</v>
      </c>
      <c r="K804" s="29">
        <v>0</v>
      </c>
      <c r="L804" s="30">
        <v>0</v>
      </c>
      <c r="M804" s="30">
        <v>0</v>
      </c>
    </row>
    <row r="805" spans="2:13" x14ac:dyDescent="0.25">
      <c r="B805" s="27">
        <v>802</v>
      </c>
      <c r="C805" s="29">
        <v>59.168846866575223</v>
      </c>
      <c r="D805" s="29">
        <v>75.142340936457231</v>
      </c>
      <c r="E805" s="29">
        <v>0</v>
      </c>
      <c r="F805" s="29">
        <v>47.918342271045837</v>
      </c>
      <c r="G805" s="29">
        <v>0</v>
      </c>
      <c r="H805" s="29">
        <v>53.166480469206604</v>
      </c>
      <c r="I805" s="29">
        <v>30.873976474683737</v>
      </c>
      <c r="J805" s="29">
        <v>0</v>
      </c>
      <c r="K805" s="29">
        <v>39.558982805173258</v>
      </c>
      <c r="L805" s="30">
        <v>0</v>
      </c>
      <c r="M805" s="30">
        <v>0</v>
      </c>
    </row>
    <row r="806" spans="2:13" x14ac:dyDescent="0.25">
      <c r="B806" s="27">
        <v>803</v>
      </c>
      <c r="C806" s="29">
        <v>24.912362746413525</v>
      </c>
      <c r="D806" s="29">
        <v>85.54210446836727</v>
      </c>
      <c r="E806" s="29">
        <v>107.19469436747067</v>
      </c>
      <c r="F806" s="29">
        <v>45.230229566588122</v>
      </c>
      <c r="G806" s="29">
        <v>40.862761569350113</v>
      </c>
      <c r="H806" s="29">
        <v>59.05981993473322</v>
      </c>
      <c r="I806" s="29">
        <v>0</v>
      </c>
      <c r="J806" s="29">
        <v>0</v>
      </c>
      <c r="K806" s="29">
        <v>39.821940128362662</v>
      </c>
      <c r="L806" s="30">
        <v>0</v>
      </c>
      <c r="M806" s="30">
        <v>0</v>
      </c>
    </row>
    <row r="807" spans="2:13" x14ac:dyDescent="0.25">
      <c r="B807" s="27">
        <v>804</v>
      </c>
      <c r="C807" s="29">
        <v>35.31612179963156</v>
      </c>
      <c r="D807" s="29">
        <v>0</v>
      </c>
      <c r="E807" s="29">
        <v>82.887994049281858</v>
      </c>
      <c r="F807" s="29">
        <v>45.814030532724175</v>
      </c>
      <c r="G807" s="29">
        <v>0</v>
      </c>
      <c r="H807" s="29">
        <v>37.343840458819813</v>
      </c>
      <c r="I807" s="29">
        <v>45.86950235528856</v>
      </c>
      <c r="J807" s="29">
        <v>0</v>
      </c>
      <c r="K807" s="29">
        <v>56.228577223124631</v>
      </c>
      <c r="L807" s="30">
        <v>42.078980987613512</v>
      </c>
      <c r="M807" s="30">
        <v>0</v>
      </c>
    </row>
    <row r="808" spans="2:13" x14ac:dyDescent="0.25">
      <c r="B808" s="27">
        <v>805</v>
      </c>
      <c r="C808" s="29">
        <v>53.19888469964674</v>
      </c>
      <c r="D808" s="29">
        <v>60.758674965149602</v>
      </c>
      <c r="E808" s="29">
        <v>0</v>
      </c>
      <c r="F808" s="29">
        <v>42.348038916598277</v>
      </c>
      <c r="G808" s="29">
        <v>0</v>
      </c>
      <c r="H808" s="29">
        <v>0</v>
      </c>
      <c r="I808" s="29">
        <v>0</v>
      </c>
      <c r="J808" s="29">
        <v>33.144045612773581</v>
      </c>
      <c r="K808" s="29">
        <v>50.576582753104148</v>
      </c>
      <c r="L808" s="30">
        <v>0</v>
      </c>
      <c r="M808" s="30">
        <v>0</v>
      </c>
    </row>
    <row r="809" spans="2:13" x14ac:dyDescent="0.25">
      <c r="B809" s="27">
        <v>806</v>
      </c>
      <c r="C809" s="29">
        <v>0</v>
      </c>
      <c r="D809" s="29">
        <v>88.667381518508265</v>
      </c>
      <c r="E809" s="29">
        <v>96.843911294042101</v>
      </c>
      <c r="F809" s="29">
        <v>0</v>
      </c>
      <c r="G809" s="29">
        <v>0</v>
      </c>
      <c r="H809" s="29">
        <v>42.149015532635239</v>
      </c>
      <c r="I809" s="29">
        <v>0</v>
      </c>
      <c r="J809" s="29">
        <v>0</v>
      </c>
      <c r="K809" s="29">
        <v>0</v>
      </c>
      <c r="L809" s="30">
        <v>0</v>
      </c>
      <c r="M809" s="30">
        <v>0</v>
      </c>
    </row>
    <row r="810" spans="2:13" x14ac:dyDescent="0.25">
      <c r="B810" s="27">
        <v>807</v>
      </c>
      <c r="C810" s="29">
        <v>0</v>
      </c>
      <c r="D810" s="29">
        <v>68.251230278023172</v>
      </c>
      <c r="E810" s="29">
        <v>96.843009171622782</v>
      </c>
      <c r="F810" s="29">
        <v>21.77584783617975</v>
      </c>
      <c r="G810" s="29">
        <v>0</v>
      </c>
      <c r="H810" s="29">
        <v>0</v>
      </c>
      <c r="I810" s="29">
        <v>45.297125074226422</v>
      </c>
      <c r="J810" s="29">
        <v>0</v>
      </c>
      <c r="K810" s="29">
        <v>54.151502396001092</v>
      </c>
      <c r="L810" s="30">
        <v>0</v>
      </c>
      <c r="M810" s="30">
        <v>0</v>
      </c>
    </row>
    <row r="811" spans="2:13" x14ac:dyDescent="0.25">
      <c r="B811" s="27">
        <v>808</v>
      </c>
      <c r="C811" s="29">
        <v>0</v>
      </c>
      <c r="D811" s="29">
        <v>73.045055046775985</v>
      </c>
      <c r="E811" s="29">
        <v>85.304617869117351</v>
      </c>
      <c r="F811" s="29">
        <v>0</v>
      </c>
      <c r="G811" s="29">
        <v>0</v>
      </c>
      <c r="H811" s="29">
        <v>0</v>
      </c>
      <c r="I811" s="29">
        <v>0</v>
      </c>
      <c r="J811" s="29">
        <v>0</v>
      </c>
      <c r="K811" s="29">
        <v>53.98946429411744</v>
      </c>
      <c r="L811" s="30">
        <v>47.067109127425049</v>
      </c>
      <c r="M811" s="30">
        <v>0</v>
      </c>
    </row>
    <row r="812" spans="2:13" x14ac:dyDescent="0.25">
      <c r="B812" s="27">
        <v>809</v>
      </c>
      <c r="C812" s="29">
        <v>16.938985220989107</v>
      </c>
      <c r="D812" s="29">
        <v>75.6775929074646</v>
      </c>
      <c r="E812" s="29">
        <v>70.279140181601548</v>
      </c>
      <c r="F812" s="29">
        <v>0</v>
      </c>
      <c r="G812" s="29">
        <v>0</v>
      </c>
      <c r="H812" s="29">
        <v>0</v>
      </c>
      <c r="I812" s="29">
        <v>0</v>
      </c>
      <c r="J812" s="29">
        <v>0</v>
      </c>
      <c r="K812" s="29">
        <v>48.622203153924637</v>
      </c>
      <c r="L812" s="30">
        <v>0</v>
      </c>
      <c r="M812" s="30">
        <v>0</v>
      </c>
    </row>
    <row r="813" spans="2:13" x14ac:dyDescent="0.25">
      <c r="B813" s="27">
        <v>810</v>
      </c>
      <c r="C813" s="29">
        <v>46.421341434531172</v>
      </c>
      <c r="D813" s="29">
        <v>80.510748580399138</v>
      </c>
      <c r="E813" s="29">
        <v>121.98414744097093</v>
      </c>
      <c r="F813" s="29">
        <v>55.753900577329659</v>
      </c>
      <c r="G813" s="29">
        <v>59.792757804380329</v>
      </c>
      <c r="H813" s="29">
        <v>0</v>
      </c>
      <c r="I813" s="29">
        <v>0</v>
      </c>
      <c r="J813" s="29">
        <v>55.088399721803711</v>
      </c>
      <c r="K813" s="29">
        <v>0</v>
      </c>
      <c r="L813" s="30">
        <v>0</v>
      </c>
      <c r="M813" s="30">
        <v>0</v>
      </c>
    </row>
    <row r="814" spans="2:13" x14ac:dyDescent="0.25">
      <c r="B814" s="27">
        <v>811</v>
      </c>
      <c r="C814" s="29">
        <v>37.041546614997188</v>
      </c>
      <c r="D814" s="29">
        <v>59.100032869792187</v>
      </c>
      <c r="E814" s="29">
        <v>130.64202073857166</v>
      </c>
      <c r="F814" s="29">
        <v>0</v>
      </c>
      <c r="G814" s="29">
        <v>0</v>
      </c>
      <c r="H814" s="29">
        <v>0</v>
      </c>
      <c r="I814" s="29">
        <v>0</v>
      </c>
      <c r="J814" s="29">
        <v>0</v>
      </c>
      <c r="K814" s="29">
        <v>62.076684504609474</v>
      </c>
      <c r="L814" s="30">
        <v>0</v>
      </c>
      <c r="M814" s="30">
        <v>0</v>
      </c>
    </row>
    <row r="815" spans="2:13" x14ac:dyDescent="0.25">
      <c r="B815" s="27">
        <v>812</v>
      </c>
      <c r="C815" s="29">
        <v>20.50927100000483</v>
      </c>
      <c r="D815" s="29">
        <v>80.923842763741604</v>
      </c>
      <c r="E815" s="29">
        <v>97.570114474635659</v>
      </c>
      <c r="F815" s="29">
        <v>0</v>
      </c>
      <c r="G815" s="29">
        <v>0</v>
      </c>
      <c r="H815" s="29">
        <v>0</v>
      </c>
      <c r="I815" s="29">
        <v>0</v>
      </c>
      <c r="J815" s="29">
        <v>0</v>
      </c>
      <c r="K815" s="29">
        <v>30.214205128360941</v>
      </c>
      <c r="L815" s="30">
        <v>0</v>
      </c>
      <c r="M815" s="30">
        <v>0</v>
      </c>
    </row>
    <row r="816" spans="2:13" x14ac:dyDescent="0.25">
      <c r="B816" s="27">
        <v>813</v>
      </c>
      <c r="C816" s="29">
        <v>26.679881816685501</v>
      </c>
      <c r="D816" s="29">
        <v>88.658100666019891</v>
      </c>
      <c r="E816" s="29">
        <v>65.244640841837906</v>
      </c>
      <c r="F816" s="29">
        <v>35.92311032931859</v>
      </c>
      <c r="G816" s="29">
        <v>0</v>
      </c>
      <c r="H816" s="29">
        <v>0</v>
      </c>
      <c r="I816" s="29">
        <v>22.465203740182893</v>
      </c>
      <c r="J816" s="29">
        <v>0</v>
      </c>
      <c r="K816" s="29">
        <v>55.58559401322173</v>
      </c>
      <c r="L816" s="30">
        <v>0</v>
      </c>
      <c r="M816" s="30">
        <v>0</v>
      </c>
    </row>
    <row r="817" spans="2:13" x14ac:dyDescent="0.25">
      <c r="B817" s="27">
        <v>814</v>
      </c>
      <c r="C817" s="29">
        <v>54.628058072248514</v>
      </c>
      <c r="D817" s="29">
        <v>78.681895902552</v>
      </c>
      <c r="E817" s="29">
        <v>77.975236165494195</v>
      </c>
      <c r="F817" s="29">
        <v>59.876875633175395</v>
      </c>
      <c r="G817" s="29">
        <v>0</v>
      </c>
      <c r="H817" s="29">
        <v>0</v>
      </c>
      <c r="I817" s="29">
        <v>62.368880448364962</v>
      </c>
      <c r="J817" s="29">
        <v>18.853987173948966</v>
      </c>
      <c r="K817" s="29">
        <v>28.142682556312618</v>
      </c>
      <c r="L817" s="30">
        <v>0</v>
      </c>
      <c r="M817" s="30">
        <v>0</v>
      </c>
    </row>
    <row r="818" spans="2:13" x14ac:dyDescent="0.25">
      <c r="B818" s="27">
        <v>815</v>
      </c>
      <c r="C818" s="29">
        <v>34.007481945923715</v>
      </c>
      <c r="D818" s="29">
        <v>0</v>
      </c>
      <c r="E818" s="29">
        <v>102.54348503954716</v>
      </c>
      <c r="F818" s="29">
        <v>0</v>
      </c>
      <c r="G818" s="29">
        <v>0</v>
      </c>
      <c r="H818" s="29">
        <v>0</v>
      </c>
      <c r="I818" s="29">
        <v>36.59591007246123</v>
      </c>
      <c r="J818" s="29">
        <v>0</v>
      </c>
      <c r="K818" s="29">
        <v>37.806343005657354</v>
      </c>
      <c r="L818" s="30">
        <v>0</v>
      </c>
      <c r="M818" s="30">
        <v>0</v>
      </c>
    </row>
    <row r="819" spans="2:13" x14ac:dyDescent="0.25">
      <c r="B819" s="27">
        <v>816</v>
      </c>
      <c r="C819" s="29">
        <v>46.652762430957651</v>
      </c>
      <c r="D819" s="29">
        <v>79.331129058941926</v>
      </c>
      <c r="E819" s="29">
        <v>74.800322829713636</v>
      </c>
      <c r="F819" s="29">
        <v>0</v>
      </c>
      <c r="G819" s="29">
        <v>0</v>
      </c>
      <c r="H819" s="29">
        <v>0</v>
      </c>
      <c r="I819" s="29">
        <v>54.031803232499776</v>
      </c>
      <c r="J819" s="29">
        <v>0</v>
      </c>
      <c r="K819" s="29">
        <v>48.039642148336391</v>
      </c>
      <c r="L819" s="30">
        <v>0</v>
      </c>
      <c r="M819" s="30">
        <v>0</v>
      </c>
    </row>
    <row r="820" spans="2:13" x14ac:dyDescent="0.25">
      <c r="B820" s="27">
        <v>817</v>
      </c>
      <c r="C820" s="29">
        <v>58.75174663598515</v>
      </c>
      <c r="D820" s="29">
        <v>87.97953195679797</v>
      </c>
      <c r="E820" s="29">
        <v>70.405931738555168</v>
      </c>
      <c r="F820" s="29">
        <v>43.977523129110502</v>
      </c>
      <c r="G820" s="29">
        <v>0</v>
      </c>
      <c r="H820" s="29">
        <v>0</v>
      </c>
      <c r="I820" s="29">
        <v>0</v>
      </c>
      <c r="J820" s="29">
        <v>0</v>
      </c>
      <c r="K820" s="29">
        <v>0</v>
      </c>
      <c r="L820" s="30">
        <v>0</v>
      </c>
      <c r="M820" s="30">
        <v>0</v>
      </c>
    </row>
    <row r="821" spans="2:13" x14ac:dyDescent="0.25">
      <c r="B821" s="27">
        <v>818</v>
      </c>
      <c r="C821" s="29">
        <v>0</v>
      </c>
      <c r="D821" s="29">
        <v>59.961746982314374</v>
      </c>
      <c r="E821" s="29">
        <v>92.392892758485402</v>
      </c>
      <c r="F821" s="29">
        <v>61.176550120884635</v>
      </c>
      <c r="G821" s="29">
        <v>0</v>
      </c>
      <c r="H821" s="29">
        <v>36.571126717764969</v>
      </c>
      <c r="I821" s="29">
        <v>53.726320313839722</v>
      </c>
      <c r="J821" s="29">
        <v>0</v>
      </c>
      <c r="K821" s="29">
        <v>38.387396419358701</v>
      </c>
      <c r="L821" s="30">
        <v>0</v>
      </c>
      <c r="M821" s="30">
        <v>0</v>
      </c>
    </row>
    <row r="822" spans="2:13" x14ac:dyDescent="0.25">
      <c r="B822" s="27">
        <v>819</v>
      </c>
      <c r="C822" s="29">
        <v>28.352021103226317</v>
      </c>
      <c r="D822" s="29">
        <v>76.73657742938876</v>
      </c>
      <c r="E822" s="29">
        <v>94.219283394158595</v>
      </c>
      <c r="F822" s="29">
        <v>36.35090564267604</v>
      </c>
      <c r="G822" s="29">
        <v>0</v>
      </c>
      <c r="H822" s="29">
        <v>0</v>
      </c>
      <c r="I822" s="29">
        <v>0</v>
      </c>
      <c r="J822" s="29">
        <v>0</v>
      </c>
      <c r="K822" s="29">
        <v>33.489720646268836</v>
      </c>
      <c r="L822" s="30">
        <v>0</v>
      </c>
      <c r="M822" s="30">
        <v>0</v>
      </c>
    </row>
    <row r="823" spans="2:13" x14ac:dyDescent="0.25">
      <c r="B823" s="27">
        <v>820</v>
      </c>
      <c r="C823" s="29">
        <v>37.564649804943983</v>
      </c>
      <c r="D823" s="29">
        <v>80.604396354317629</v>
      </c>
      <c r="E823" s="29">
        <v>0</v>
      </c>
      <c r="F823" s="29">
        <v>43.169124623987145</v>
      </c>
      <c r="G823" s="29">
        <v>0</v>
      </c>
      <c r="H823" s="29">
        <v>0</v>
      </c>
      <c r="I823" s="29">
        <v>0</v>
      </c>
      <c r="J823" s="29">
        <v>0</v>
      </c>
      <c r="K823" s="29">
        <v>25.789378886561714</v>
      </c>
      <c r="L823" s="30">
        <v>0</v>
      </c>
      <c r="M823" s="30">
        <v>0</v>
      </c>
    </row>
    <row r="824" spans="2:13" x14ac:dyDescent="0.25">
      <c r="B824" s="27">
        <v>821</v>
      </c>
      <c r="C824" s="29">
        <v>19.627224901430772</v>
      </c>
      <c r="D824" s="29">
        <v>86.647995923792791</v>
      </c>
      <c r="E824" s="29">
        <v>0</v>
      </c>
      <c r="F824" s="29">
        <v>41.868117268215414</v>
      </c>
      <c r="G824" s="29">
        <v>0</v>
      </c>
      <c r="H824" s="29">
        <v>32.543266085672194</v>
      </c>
      <c r="I824" s="29">
        <v>48.050215711101295</v>
      </c>
      <c r="J824" s="29">
        <v>0</v>
      </c>
      <c r="K824" s="29">
        <v>30.710239879590674</v>
      </c>
      <c r="L824" s="30">
        <v>0</v>
      </c>
      <c r="M824" s="30">
        <v>0</v>
      </c>
    </row>
    <row r="825" spans="2:13" x14ac:dyDescent="0.25">
      <c r="B825" s="27">
        <v>822</v>
      </c>
      <c r="C825" s="29">
        <v>42.461772538525025</v>
      </c>
      <c r="D825" s="29">
        <v>82.191785491249277</v>
      </c>
      <c r="E825" s="29">
        <v>0</v>
      </c>
      <c r="F825" s="29">
        <v>38.955451291000458</v>
      </c>
      <c r="G825" s="29">
        <v>0</v>
      </c>
      <c r="H825" s="29">
        <v>0</v>
      </c>
      <c r="I825" s="29">
        <v>0</v>
      </c>
      <c r="J825" s="29">
        <v>50.760770305904799</v>
      </c>
      <c r="K825" s="29">
        <v>0</v>
      </c>
      <c r="L825" s="30">
        <v>0</v>
      </c>
      <c r="M825" s="30">
        <v>0</v>
      </c>
    </row>
    <row r="826" spans="2:13" x14ac:dyDescent="0.25">
      <c r="B826" s="27">
        <v>823</v>
      </c>
      <c r="C826" s="29">
        <v>51.612254355276924</v>
      </c>
      <c r="D826" s="29">
        <v>60.64596994575836</v>
      </c>
      <c r="E826" s="29">
        <v>0</v>
      </c>
      <c r="F826" s="29">
        <v>41.090261073763429</v>
      </c>
      <c r="G826" s="29">
        <v>0</v>
      </c>
      <c r="H826" s="29">
        <v>0</v>
      </c>
      <c r="I826" s="29">
        <v>0</v>
      </c>
      <c r="J826" s="29">
        <v>57.388654702540677</v>
      </c>
      <c r="K826" s="29">
        <v>55.103325621985405</v>
      </c>
      <c r="L826" s="30">
        <v>0</v>
      </c>
      <c r="M826" s="30">
        <v>0</v>
      </c>
    </row>
    <row r="827" spans="2:13" x14ac:dyDescent="0.25">
      <c r="B827" s="27">
        <v>824</v>
      </c>
      <c r="C827" s="29">
        <v>40.676880075145547</v>
      </c>
      <c r="D827" s="29">
        <v>71.934699856992111</v>
      </c>
      <c r="E827" s="29">
        <v>0</v>
      </c>
      <c r="F827" s="29">
        <v>52.651010725512066</v>
      </c>
      <c r="G827" s="29">
        <v>0</v>
      </c>
      <c r="H827" s="29">
        <v>0</v>
      </c>
      <c r="I827" s="29">
        <v>62.039814300649482</v>
      </c>
      <c r="J827" s="29">
        <v>0</v>
      </c>
      <c r="K827" s="29">
        <v>55.247834855240072</v>
      </c>
      <c r="L827" s="30">
        <v>0</v>
      </c>
      <c r="M827" s="30">
        <v>0</v>
      </c>
    </row>
    <row r="828" spans="2:13" x14ac:dyDescent="0.25">
      <c r="B828" s="27">
        <v>825</v>
      </c>
      <c r="C828" s="29">
        <v>28.4829144913272</v>
      </c>
      <c r="D828" s="29">
        <v>72.214577713864401</v>
      </c>
      <c r="E828" s="29">
        <v>71.972162274694398</v>
      </c>
      <c r="F828" s="29">
        <v>46.47698325056875</v>
      </c>
      <c r="G828" s="29">
        <v>0</v>
      </c>
      <c r="H828" s="29">
        <v>0</v>
      </c>
      <c r="I828" s="29">
        <v>0</v>
      </c>
      <c r="J828" s="29">
        <v>0</v>
      </c>
      <c r="K828" s="29">
        <v>0</v>
      </c>
      <c r="L828" s="30">
        <v>0</v>
      </c>
      <c r="M828" s="30">
        <v>0</v>
      </c>
    </row>
    <row r="829" spans="2:13" x14ac:dyDescent="0.25">
      <c r="B829" s="27">
        <v>826</v>
      </c>
      <c r="C829" s="29">
        <v>0</v>
      </c>
      <c r="D829" s="29">
        <v>86.349053351413687</v>
      </c>
      <c r="E829" s="29">
        <v>0</v>
      </c>
      <c r="F829" s="29">
        <v>65.648537572162724</v>
      </c>
      <c r="G829" s="29">
        <v>0</v>
      </c>
      <c r="H829" s="29">
        <v>0</v>
      </c>
      <c r="I829" s="29">
        <v>0</v>
      </c>
      <c r="J829" s="29">
        <v>25.878390328624842</v>
      </c>
      <c r="K829" s="29">
        <v>0</v>
      </c>
      <c r="L829" s="30">
        <v>0</v>
      </c>
      <c r="M829" s="30">
        <v>0</v>
      </c>
    </row>
    <row r="830" spans="2:13" x14ac:dyDescent="0.25">
      <c r="B830" s="27">
        <v>827</v>
      </c>
      <c r="C830" s="29">
        <v>46.155368131952514</v>
      </c>
      <c r="D830" s="29">
        <v>0</v>
      </c>
      <c r="E830" s="29">
        <v>121.28132919351594</v>
      </c>
      <c r="F830" s="29">
        <v>32.149324846012263</v>
      </c>
      <c r="G830" s="29">
        <v>0</v>
      </c>
      <c r="H830" s="29">
        <v>33.556275450173445</v>
      </c>
      <c r="I830" s="29">
        <v>0</v>
      </c>
      <c r="J830" s="29">
        <v>0</v>
      </c>
      <c r="K830" s="29">
        <v>46.737501039728151</v>
      </c>
      <c r="L830" s="30">
        <v>0</v>
      </c>
      <c r="M830" s="30">
        <v>0</v>
      </c>
    </row>
    <row r="831" spans="2:13" x14ac:dyDescent="0.25">
      <c r="B831" s="27">
        <v>828</v>
      </c>
      <c r="C831" s="29">
        <v>56.078184921430648</v>
      </c>
      <c r="D831" s="29">
        <v>98.9544214433527</v>
      </c>
      <c r="E831" s="29">
        <v>0</v>
      </c>
      <c r="F831" s="29">
        <v>40.229938035148948</v>
      </c>
      <c r="G831" s="29">
        <v>0</v>
      </c>
      <c r="H831" s="29">
        <v>0</v>
      </c>
      <c r="I831" s="29">
        <v>0</v>
      </c>
      <c r="J831" s="29">
        <v>0</v>
      </c>
      <c r="K831" s="29">
        <v>40.120248692380301</v>
      </c>
      <c r="L831" s="30">
        <v>0</v>
      </c>
      <c r="M831" s="30">
        <v>0</v>
      </c>
    </row>
    <row r="832" spans="2:13" x14ac:dyDescent="0.25">
      <c r="B832" s="27">
        <v>829</v>
      </c>
      <c r="C832" s="29">
        <v>60.125322997724055</v>
      </c>
      <c r="D832" s="29">
        <v>65.710080145371066</v>
      </c>
      <c r="E832" s="29">
        <v>81.953592215861505</v>
      </c>
      <c r="F832" s="29">
        <v>50.375894395940165</v>
      </c>
      <c r="G832" s="29">
        <v>51.98434578272937</v>
      </c>
      <c r="H832" s="29">
        <v>0</v>
      </c>
      <c r="I832" s="29">
        <v>0</v>
      </c>
      <c r="J832" s="29">
        <v>0</v>
      </c>
      <c r="K832" s="29">
        <v>0</v>
      </c>
      <c r="L832" s="30">
        <v>0</v>
      </c>
      <c r="M832" s="30">
        <v>0</v>
      </c>
    </row>
    <row r="833" spans="2:13" x14ac:dyDescent="0.25">
      <c r="B833" s="27">
        <v>830</v>
      </c>
      <c r="C833" s="29">
        <v>23.657805270407721</v>
      </c>
      <c r="D833" s="29">
        <v>64.901212467492584</v>
      </c>
      <c r="E833" s="29">
        <v>0</v>
      </c>
      <c r="F833" s="29">
        <v>68.256519169692922</v>
      </c>
      <c r="G833" s="29">
        <v>0</v>
      </c>
      <c r="H833" s="29">
        <v>0</v>
      </c>
      <c r="I833" s="29">
        <v>0</v>
      </c>
      <c r="J833" s="29">
        <v>0</v>
      </c>
      <c r="K833" s="29">
        <v>59.90072140034718</v>
      </c>
      <c r="L833" s="30">
        <v>58.376955389734434</v>
      </c>
      <c r="M833" s="30">
        <v>0</v>
      </c>
    </row>
    <row r="834" spans="2:13" x14ac:dyDescent="0.25">
      <c r="B834" s="27">
        <v>831</v>
      </c>
      <c r="C834" s="29">
        <v>37.959358543780667</v>
      </c>
      <c r="D834" s="29">
        <v>64.496822873984357</v>
      </c>
      <c r="E834" s="29">
        <v>116.21795899456424</v>
      </c>
      <c r="F834" s="29">
        <v>41.596812572314462</v>
      </c>
      <c r="G834" s="29">
        <v>0</v>
      </c>
      <c r="H834" s="29">
        <v>57.705508377674782</v>
      </c>
      <c r="I834" s="29">
        <v>0</v>
      </c>
      <c r="J834" s="29">
        <v>49.495812741378195</v>
      </c>
      <c r="K834" s="29">
        <v>42.754007331593399</v>
      </c>
      <c r="L834" s="30">
        <v>0</v>
      </c>
      <c r="M834" s="30">
        <v>0</v>
      </c>
    </row>
    <row r="835" spans="2:13" x14ac:dyDescent="0.25">
      <c r="B835" s="27">
        <v>832</v>
      </c>
      <c r="C835" s="29">
        <v>58.022438148409378</v>
      </c>
      <c r="D835" s="29">
        <v>68.837055969124435</v>
      </c>
      <c r="E835" s="29">
        <v>0</v>
      </c>
      <c r="F835" s="29">
        <v>0</v>
      </c>
      <c r="G835" s="29">
        <v>0</v>
      </c>
      <c r="H835" s="29">
        <v>0</v>
      </c>
      <c r="I835" s="29">
        <v>54.270501422471625</v>
      </c>
      <c r="J835" s="29">
        <v>0</v>
      </c>
      <c r="K835" s="29">
        <v>50.430158977432257</v>
      </c>
      <c r="L835" s="30">
        <v>0</v>
      </c>
      <c r="M835" s="30">
        <v>0</v>
      </c>
    </row>
    <row r="836" spans="2:13" x14ac:dyDescent="0.25">
      <c r="B836" s="27">
        <v>833</v>
      </c>
      <c r="C836" s="29">
        <v>55.58192666207394</v>
      </c>
      <c r="D836" s="29">
        <v>0</v>
      </c>
      <c r="E836" s="29">
        <v>0</v>
      </c>
      <c r="F836" s="29">
        <v>35.771719748481559</v>
      </c>
      <c r="G836" s="29">
        <v>0</v>
      </c>
      <c r="H836" s="29">
        <v>58.577843565939759</v>
      </c>
      <c r="I836" s="29">
        <v>54.647075067502165</v>
      </c>
      <c r="J836" s="29">
        <v>0</v>
      </c>
      <c r="K836" s="29">
        <v>56.328642793874344</v>
      </c>
      <c r="L836" s="30">
        <v>0</v>
      </c>
      <c r="M836" s="30">
        <v>0</v>
      </c>
    </row>
    <row r="837" spans="2:13" x14ac:dyDescent="0.25">
      <c r="B837" s="27">
        <v>834</v>
      </c>
      <c r="C837" s="29">
        <v>0</v>
      </c>
      <c r="D837" s="29">
        <v>78.389406395363508</v>
      </c>
      <c r="E837" s="29">
        <v>0</v>
      </c>
      <c r="F837" s="29">
        <v>36.773401107824704</v>
      </c>
      <c r="G837" s="29">
        <v>0</v>
      </c>
      <c r="H837" s="29">
        <v>0</v>
      </c>
      <c r="I837" s="29">
        <v>0</v>
      </c>
      <c r="J837" s="29">
        <v>52.951854294326623</v>
      </c>
      <c r="K837" s="29">
        <v>42.634149873944949</v>
      </c>
      <c r="L837" s="30">
        <v>0</v>
      </c>
      <c r="M837" s="30">
        <v>0</v>
      </c>
    </row>
    <row r="838" spans="2:13" x14ac:dyDescent="0.25">
      <c r="B838" s="27">
        <v>835</v>
      </c>
      <c r="C838" s="29">
        <v>44.048704773429634</v>
      </c>
      <c r="D838" s="29">
        <v>62.852387062414493</v>
      </c>
      <c r="E838" s="29">
        <v>83.281683398361068</v>
      </c>
      <c r="F838" s="29">
        <v>50.080939956971875</v>
      </c>
      <c r="G838" s="29">
        <v>0</v>
      </c>
      <c r="H838" s="29">
        <v>0</v>
      </c>
      <c r="I838" s="29">
        <v>44.708411157671584</v>
      </c>
      <c r="J838" s="29">
        <v>0</v>
      </c>
      <c r="K838" s="29">
        <v>0</v>
      </c>
      <c r="L838" s="30">
        <v>0</v>
      </c>
      <c r="M838" s="30">
        <v>0</v>
      </c>
    </row>
    <row r="839" spans="2:13" x14ac:dyDescent="0.25">
      <c r="B839" s="27">
        <v>836</v>
      </c>
      <c r="C839" s="29">
        <v>33.54622185181114</v>
      </c>
      <c r="D839" s="29">
        <v>80.172926027361513</v>
      </c>
      <c r="E839" s="29">
        <v>123.09700996597772</v>
      </c>
      <c r="F839" s="29">
        <v>0</v>
      </c>
      <c r="G839" s="29">
        <v>51.22971889820306</v>
      </c>
      <c r="H839" s="29">
        <v>19.258645813034732</v>
      </c>
      <c r="I839" s="29">
        <v>47.579554945299691</v>
      </c>
      <c r="J839" s="29">
        <v>0</v>
      </c>
      <c r="K839" s="29">
        <v>64.190622951005366</v>
      </c>
      <c r="L839" s="30">
        <v>0</v>
      </c>
      <c r="M839" s="30">
        <v>0</v>
      </c>
    </row>
    <row r="840" spans="2:13" x14ac:dyDescent="0.25">
      <c r="B840" s="27">
        <v>837</v>
      </c>
      <c r="C840" s="29">
        <v>50.538017269974603</v>
      </c>
      <c r="D840" s="29">
        <v>71.432815694016242</v>
      </c>
      <c r="E840" s="29">
        <v>99.765455289392889</v>
      </c>
      <c r="F840" s="29">
        <v>0</v>
      </c>
      <c r="G840" s="29">
        <v>0</v>
      </c>
      <c r="H840" s="29">
        <v>0</v>
      </c>
      <c r="I840" s="29">
        <v>42.187145002008201</v>
      </c>
      <c r="J840" s="29">
        <v>0</v>
      </c>
      <c r="K840" s="29">
        <v>56.61043250140451</v>
      </c>
      <c r="L840" s="30">
        <v>0</v>
      </c>
      <c r="M840" s="30">
        <v>0</v>
      </c>
    </row>
    <row r="841" spans="2:13" x14ac:dyDescent="0.25">
      <c r="B841" s="27">
        <v>838</v>
      </c>
      <c r="C841" s="29">
        <v>64.604508920880576</v>
      </c>
      <c r="D841" s="29">
        <v>74.238423192470407</v>
      </c>
      <c r="E841" s="29">
        <v>0</v>
      </c>
      <c r="F841" s="29">
        <v>0</v>
      </c>
      <c r="G841" s="29">
        <v>0</v>
      </c>
      <c r="H841" s="29">
        <v>0</v>
      </c>
      <c r="I841" s="29">
        <v>0</v>
      </c>
      <c r="J841" s="29">
        <v>0</v>
      </c>
      <c r="K841" s="29">
        <v>65.078556413473777</v>
      </c>
      <c r="L841" s="30">
        <v>0</v>
      </c>
      <c r="M841" s="30">
        <v>0</v>
      </c>
    </row>
    <row r="842" spans="2:13" x14ac:dyDescent="0.25">
      <c r="B842" s="27">
        <v>839</v>
      </c>
      <c r="C842" s="29">
        <v>33.889718013352251</v>
      </c>
      <c r="D842" s="29">
        <v>83.641171665054856</v>
      </c>
      <c r="E842" s="29">
        <v>103.62735878935206</v>
      </c>
      <c r="F842" s="29">
        <v>0</v>
      </c>
      <c r="G842" s="29">
        <v>43.4592335132591</v>
      </c>
      <c r="H842" s="29">
        <v>48.934322824915341</v>
      </c>
      <c r="I842" s="29">
        <v>0</v>
      </c>
      <c r="J842" s="29">
        <v>52.81340573140583</v>
      </c>
      <c r="K842" s="29">
        <v>47.327188123392673</v>
      </c>
      <c r="L842" s="30">
        <v>41.300656708459606</v>
      </c>
      <c r="M842" s="30">
        <v>0</v>
      </c>
    </row>
    <row r="843" spans="2:13" x14ac:dyDescent="0.25">
      <c r="B843" s="27">
        <v>840</v>
      </c>
      <c r="C843" s="29">
        <v>48.047807520053944</v>
      </c>
      <c r="D843" s="29">
        <v>0</v>
      </c>
      <c r="E843" s="29">
        <v>0</v>
      </c>
      <c r="F843" s="29">
        <v>62.485336298258758</v>
      </c>
      <c r="G843" s="29">
        <v>0</v>
      </c>
      <c r="H843" s="29">
        <v>0</v>
      </c>
      <c r="I843" s="29">
        <v>49.8863951724774</v>
      </c>
      <c r="J843" s="29">
        <v>0</v>
      </c>
      <c r="K843" s="29">
        <v>49.045152452387576</v>
      </c>
      <c r="L843" s="30">
        <v>0</v>
      </c>
      <c r="M843" s="30">
        <v>0</v>
      </c>
    </row>
    <row r="844" spans="2:13" x14ac:dyDescent="0.25">
      <c r="B844" s="27">
        <v>841</v>
      </c>
      <c r="C844" s="29">
        <v>54.55994531730876</v>
      </c>
      <c r="D844" s="29">
        <v>70.293234793780158</v>
      </c>
      <c r="E844" s="29">
        <v>111.71991562236553</v>
      </c>
      <c r="F844" s="29">
        <v>45.992090434781723</v>
      </c>
      <c r="G844" s="29">
        <v>0</v>
      </c>
      <c r="H844" s="29">
        <v>0</v>
      </c>
      <c r="I844" s="29">
        <v>0</v>
      </c>
      <c r="J844" s="29">
        <v>45.188316423868208</v>
      </c>
      <c r="K844" s="29">
        <v>0</v>
      </c>
      <c r="L844" s="30">
        <v>0</v>
      </c>
      <c r="M844" s="30">
        <v>0</v>
      </c>
    </row>
    <row r="845" spans="2:13" x14ac:dyDescent="0.25">
      <c r="B845" s="27">
        <v>842</v>
      </c>
      <c r="C845" s="29">
        <v>34.624935379539465</v>
      </c>
      <c r="D845" s="29">
        <v>55.010549246285017</v>
      </c>
      <c r="E845" s="29">
        <v>119.98913506397508</v>
      </c>
      <c r="F845" s="29">
        <v>50.899161767882205</v>
      </c>
      <c r="G845" s="29">
        <v>0</v>
      </c>
      <c r="H845" s="29">
        <v>0</v>
      </c>
      <c r="I845" s="29">
        <v>0</v>
      </c>
      <c r="J845" s="29">
        <v>0</v>
      </c>
      <c r="K845" s="29">
        <v>0</v>
      </c>
      <c r="L845" s="30">
        <v>0</v>
      </c>
      <c r="M845" s="30">
        <v>0</v>
      </c>
    </row>
    <row r="846" spans="2:13" x14ac:dyDescent="0.25">
      <c r="B846" s="27">
        <v>843</v>
      </c>
      <c r="C846" s="29">
        <v>32.194353946614676</v>
      </c>
      <c r="D846" s="29">
        <v>69.383638020969698</v>
      </c>
      <c r="E846" s="29">
        <v>0</v>
      </c>
      <c r="F846" s="29">
        <v>43.560080172126689</v>
      </c>
      <c r="G846" s="29">
        <v>0</v>
      </c>
      <c r="H846" s="29">
        <v>0</v>
      </c>
      <c r="I846" s="29">
        <v>36.918472961273785</v>
      </c>
      <c r="J846" s="29">
        <v>0</v>
      </c>
      <c r="K846" s="29">
        <v>42.576800788446278</v>
      </c>
      <c r="L846" s="30">
        <v>42.803736111500513</v>
      </c>
      <c r="M846" s="30">
        <v>0</v>
      </c>
    </row>
    <row r="847" spans="2:13" x14ac:dyDescent="0.25">
      <c r="B847" s="27">
        <v>844</v>
      </c>
      <c r="C847" s="29">
        <v>52.709090014561198</v>
      </c>
      <c r="D847" s="29">
        <v>54.35301575410174</v>
      </c>
      <c r="E847" s="29">
        <v>134.61106898027529</v>
      </c>
      <c r="F847" s="29">
        <v>35.643789147885371</v>
      </c>
      <c r="G847" s="29">
        <v>28.070810027764921</v>
      </c>
      <c r="H847" s="29">
        <v>0</v>
      </c>
      <c r="I847" s="29">
        <v>48.562158960995589</v>
      </c>
      <c r="J847" s="29">
        <v>0</v>
      </c>
      <c r="K847" s="29">
        <v>46.978363422886147</v>
      </c>
      <c r="L847" s="30">
        <v>0</v>
      </c>
      <c r="M847" s="30">
        <v>0</v>
      </c>
    </row>
    <row r="848" spans="2:13" x14ac:dyDescent="0.25">
      <c r="B848" s="27">
        <v>845</v>
      </c>
      <c r="C848" s="29">
        <v>48.653399838884084</v>
      </c>
      <c r="D848" s="29">
        <v>80.522883665228704</v>
      </c>
      <c r="E848" s="29">
        <v>112.55351292436919</v>
      </c>
      <c r="F848" s="29">
        <v>35.732868113459446</v>
      </c>
      <c r="G848" s="29">
        <v>0</v>
      </c>
      <c r="H848" s="29">
        <v>0</v>
      </c>
      <c r="I848" s="29">
        <v>40.835000985383061</v>
      </c>
      <c r="J848" s="29">
        <v>0</v>
      </c>
      <c r="K848" s="29">
        <v>44.466426107998721</v>
      </c>
      <c r="L848" s="30">
        <v>0</v>
      </c>
      <c r="M848" s="30">
        <v>0</v>
      </c>
    </row>
    <row r="849" spans="2:13" x14ac:dyDescent="0.25">
      <c r="B849" s="27">
        <v>846</v>
      </c>
      <c r="C849" s="29">
        <v>40.727736474905846</v>
      </c>
      <c r="D849" s="29">
        <v>0</v>
      </c>
      <c r="E849" s="29">
        <v>0</v>
      </c>
      <c r="F849" s="29">
        <v>67.448548592063403</v>
      </c>
      <c r="G849" s="29">
        <v>0</v>
      </c>
      <c r="H849" s="29">
        <v>0</v>
      </c>
      <c r="I849" s="29">
        <v>38.010466238954386</v>
      </c>
      <c r="J849" s="29">
        <v>47.706146937820535</v>
      </c>
      <c r="K849" s="29">
        <v>42.454748233945672</v>
      </c>
      <c r="L849" s="30">
        <v>0</v>
      </c>
      <c r="M849" s="30">
        <v>0</v>
      </c>
    </row>
    <row r="850" spans="2:13" x14ac:dyDescent="0.25">
      <c r="B850" s="27">
        <v>847</v>
      </c>
      <c r="C850" s="29">
        <v>0</v>
      </c>
      <c r="D850" s="29">
        <v>78.085037366907343</v>
      </c>
      <c r="E850" s="29">
        <v>68.085126552982274</v>
      </c>
      <c r="F850" s="29">
        <v>44.960930366237449</v>
      </c>
      <c r="G850" s="29">
        <v>0</v>
      </c>
      <c r="H850" s="29">
        <v>0</v>
      </c>
      <c r="I850" s="29">
        <v>0</v>
      </c>
      <c r="J850" s="29">
        <v>0</v>
      </c>
      <c r="K850" s="29">
        <v>48.652102865128136</v>
      </c>
      <c r="L850" s="30">
        <v>0</v>
      </c>
      <c r="M850" s="30">
        <v>0</v>
      </c>
    </row>
    <row r="851" spans="2:13" x14ac:dyDescent="0.25">
      <c r="B851" s="27">
        <v>848</v>
      </c>
      <c r="C851" s="29">
        <v>29.799602963682023</v>
      </c>
      <c r="D851" s="29">
        <v>83.382992523562137</v>
      </c>
      <c r="E851" s="29">
        <v>81.845121517348574</v>
      </c>
      <c r="F851" s="29">
        <v>51.621669230291815</v>
      </c>
      <c r="G851" s="29">
        <v>0</v>
      </c>
      <c r="H851" s="29">
        <v>41.972097665651617</v>
      </c>
      <c r="I851" s="29">
        <v>64.570752741910283</v>
      </c>
      <c r="J851" s="29">
        <v>0</v>
      </c>
      <c r="K851" s="29">
        <v>35.306419723273507</v>
      </c>
      <c r="L851" s="30">
        <v>0</v>
      </c>
      <c r="M851" s="30">
        <v>0</v>
      </c>
    </row>
    <row r="852" spans="2:13" x14ac:dyDescent="0.25">
      <c r="B852" s="27">
        <v>849</v>
      </c>
      <c r="C852" s="29">
        <v>42.038181117834718</v>
      </c>
      <c r="D852" s="29">
        <v>68.516321217484716</v>
      </c>
      <c r="E852" s="29">
        <v>84.931676403240814</v>
      </c>
      <c r="F852" s="29">
        <v>54.054651234626682</v>
      </c>
      <c r="G852" s="29">
        <v>0</v>
      </c>
      <c r="H852" s="29">
        <v>21.618684818228729</v>
      </c>
      <c r="I852" s="29">
        <v>0</v>
      </c>
      <c r="J852" s="29">
        <v>0</v>
      </c>
      <c r="K852" s="29">
        <v>47.723432845353791</v>
      </c>
      <c r="L852" s="30">
        <v>0</v>
      </c>
      <c r="M852" s="30">
        <v>0</v>
      </c>
    </row>
    <row r="853" spans="2:13" x14ac:dyDescent="0.25">
      <c r="B853" s="27">
        <v>850</v>
      </c>
      <c r="C853" s="29">
        <v>31.509337497939896</v>
      </c>
      <c r="D853" s="29">
        <v>98.503114542482408</v>
      </c>
      <c r="E853" s="29">
        <v>0</v>
      </c>
      <c r="F853" s="29">
        <v>58.193428555254357</v>
      </c>
      <c r="G853" s="29">
        <v>0</v>
      </c>
      <c r="H853" s="29">
        <v>0</v>
      </c>
      <c r="I853" s="29">
        <v>51.690553411669086</v>
      </c>
      <c r="J853" s="29">
        <v>0</v>
      </c>
      <c r="K853" s="29">
        <v>41.04295964205842</v>
      </c>
      <c r="L853" s="30">
        <v>0</v>
      </c>
      <c r="M853" s="30">
        <v>0</v>
      </c>
    </row>
    <row r="854" spans="2:13" x14ac:dyDescent="0.25">
      <c r="B854" s="27">
        <v>851</v>
      </c>
      <c r="C854" s="29">
        <v>63.799171012744523</v>
      </c>
      <c r="D854" s="29">
        <v>92.152573757768195</v>
      </c>
      <c r="E854" s="29">
        <v>93.361640197906397</v>
      </c>
      <c r="F854" s="29">
        <v>30.28590016820344</v>
      </c>
      <c r="G854" s="29">
        <v>0</v>
      </c>
      <c r="H854" s="29">
        <v>46.504278733008384</v>
      </c>
      <c r="I854" s="29">
        <v>0</v>
      </c>
      <c r="J854" s="29">
        <v>0</v>
      </c>
      <c r="K854" s="29">
        <v>51.483282987804671</v>
      </c>
      <c r="L854" s="30">
        <v>0</v>
      </c>
      <c r="M854" s="30">
        <v>0</v>
      </c>
    </row>
    <row r="855" spans="2:13" x14ac:dyDescent="0.25">
      <c r="B855" s="27">
        <v>852</v>
      </c>
      <c r="C855" s="29">
        <v>42.430164247353623</v>
      </c>
      <c r="D855" s="29">
        <v>0</v>
      </c>
      <c r="E855" s="29">
        <v>0</v>
      </c>
      <c r="F855" s="29">
        <v>0</v>
      </c>
      <c r="G855" s="29">
        <v>0</v>
      </c>
      <c r="H855" s="29">
        <v>0</v>
      </c>
      <c r="I855" s="29">
        <v>0</v>
      </c>
      <c r="J855" s="29">
        <v>0</v>
      </c>
      <c r="K855" s="29">
        <v>47.017084700053893</v>
      </c>
      <c r="L855" s="30">
        <v>0</v>
      </c>
      <c r="M855" s="30">
        <v>0</v>
      </c>
    </row>
    <row r="856" spans="2:13" x14ac:dyDescent="0.25">
      <c r="B856" s="27">
        <v>853</v>
      </c>
      <c r="C856" s="29">
        <v>39.519172213156693</v>
      </c>
      <c r="D856" s="29">
        <v>95.955461075234112</v>
      </c>
      <c r="E856" s="29">
        <v>120.7595181783217</v>
      </c>
      <c r="F856" s="29">
        <v>36.126973089581895</v>
      </c>
      <c r="G856" s="29">
        <v>0</v>
      </c>
      <c r="H856" s="29">
        <v>13.235819118318151</v>
      </c>
      <c r="I856" s="29">
        <v>51.216624731168437</v>
      </c>
      <c r="J856" s="29">
        <v>45.077897036253873</v>
      </c>
      <c r="K856" s="29">
        <v>30.865722924806391</v>
      </c>
      <c r="L856" s="30">
        <v>0</v>
      </c>
      <c r="M856" s="30">
        <v>0</v>
      </c>
    </row>
    <row r="857" spans="2:13" x14ac:dyDescent="0.25">
      <c r="B857" s="27">
        <v>854</v>
      </c>
      <c r="C857" s="29">
        <v>28.333602173463024</v>
      </c>
      <c r="D857" s="29">
        <v>69.629201612638127</v>
      </c>
      <c r="E857" s="29">
        <v>94.829293082251681</v>
      </c>
      <c r="F857" s="29">
        <v>45.376510884950306</v>
      </c>
      <c r="G857" s="29">
        <v>0</v>
      </c>
      <c r="H857" s="29">
        <v>0</v>
      </c>
      <c r="I857" s="29">
        <v>45.484518619418147</v>
      </c>
      <c r="J857" s="29">
        <v>0</v>
      </c>
      <c r="K857" s="29">
        <v>61.174798034738117</v>
      </c>
      <c r="L857" s="30">
        <v>0</v>
      </c>
      <c r="M857" s="30">
        <v>0</v>
      </c>
    </row>
    <row r="858" spans="2:13" x14ac:dyDescent="0.25">
      <c r="B858" s="27">
        <v>855</v>
      </c>
      <c r="C858" s="29">
        <v>50.2273715242127</v>
      </c>
      <c r="D858" s="29">
        <v>56.179373663636433</v>
      </c>
      <c r="E858" s="29">
        <v>0</v>
      </c>
      <c r="F858" s="29">
        <v>48.373495755961706</v>
      </c>
      <c r="G858" s="29">
        <v>0</v>
      </c>
      <c r="H858" s="29">
        <v>0</v>
      </c>
      <c r="I858" s="29">
        <v>29.552212661584843</v>
      </c>
      <c r="J858" s="29">
        <v>0</v>
      </c>
      <c r="K858" s="29">
        <v>58.81656764519763</v>
      </c>
      <c r="L858" s="30">
        <v>0</v>
      </c>
      <c r="M858" s="30">
        <v>0</v>
      </c>
    </row>
    <row r="859" spans="2:13" x14ac:dyDescent="0.25">
      <c r="B859" s="27">
        <v>856</v>
      </c>
      <c r="C859" s="29">
        <v>46.725672090632919</v>
      </c>
      <c r="D859" s="29">
        <v>62.806617042301212</v>
      </c>
      <c r="E859" s="29">
        <v>0</v>
      </c>
      <c r="F859" s="29">
        <v>51.883590405684885</v>
      </c>
      <c r="G859" s="29">
        <v>0</v>
      </c>
      <c r="H859" s="29">
        <v>0</v>
      </c>
      <c r="I859" s="29">
        <v>0</v>
      </c>
      <c r="J859" s="29">
        <v>0</v>
      </c>
      <c r="K859" s="29">
        <v>51.398687225937124</v>
      </c>
      <c r="L859" s="30">
        <v>0</v>
      </c>
      <c r="M859" s="30">
        <v>0</v>
      </c>
    </row>
    <row r="860" spans="2:13" x14ac:dyDescent="0.25">
      <c r="B860" s="27">
        <v>857</v>
      </c>
      <c r="C860" s="29">
        <v>0</v>
      </c>
      <c r="D860" s="29">
        <v>0</v>
      </c>
      <c r="E860" s="29">
        <v>78.724631306942541</v>
      </c>
      <c r="F860" s="29">
        <v>0</v>
      </c>
      <c r="G860" s="29">
        <v>48.999849902230764</v>
      </c>
      <c r="H860" s="29">
        <v>0</v>
      </c>
      <c r="I860" s="29">
        <v>50.167643321860126</v>
      </c>
      <c r="J860" s="29">
        <v>0</v>
      </c>
      <c r="K860" s="29">
        <v>0</v>
      </c>
      <c r="L860" s="30">
        <v>0</v>
      </c>
      <c r="M860" s="30">
        <v>0</v>
      </c>
    </row>
    <row r="861" spans="2:13" x14ac:dyDescent="0.25">
      <c r="B861" s="27">
        <v>858</v>
      </c>
      <c r="C861" s="29">
        <v>56.009348481122885</v>
      </c>
      <c r="D861" s="29">
        <v>60.109070735593718</v>
      </c>
      <c r="E861" s="29">
        <v>118.58000002593749</v>
      </c>
      <c r="F861" s="29">
        <v>57.587656658967347</v>
      </c>
      <c r="G861" s="29">
        <v>0</v>
      </c>
      <c r="H861" s="29">
        <v>47.767827847682987</v>
      </c>
      <c r="I861" s="29">
        <v>0</v>
      </c>
      <c r="J861" s="29">
        <v>0</v>
      </c>
      <c r="K861" s="29">
        <v>50.064786554204318</v>
      </c>
      <c r="L861" s="30">
        <v>55.921476142246256</v>
      </c>
      <c r="M861" s="30">
        <v>0</v>
      </c>
    </row>
    <row r="862" spans="2:13" x14ac:dyDescent="0.25">
      <c r="B862" s="27">
        <v>859</v>
      </c>
      <c r="C862" s="29">
        <v>55.815903532008221</v>
      </c>
      <c r="D862" s="29">
        <v>80.503765038233468</v>
      </c>
      <c r="E862" s="29">
        <v>0</v>
      </c>
      <c r="F862" s="29">
        <v>0</v>
      </c>
      <c r="G862" s="29">
        <v>0</v>
      </c>
      <c r="H862" s="29">
        <v>45.051745253403205</v>
      </c>
      <c r="I862" s="29">
        <v>0</v>
      </c>
      <c r="J862" s="29">
        <v>0</v>
      </c>
      <c r="K862" s="29">
        <v>63.065391028943736</v>
      </c>
      <c r="L862" s="30">
        <v>0</v>
      </c>
      <c r="M862" s="30">
        <v>0</v>
      </c>
    </row>
    <row r="863" spans="2:13" x14ac:dyDescent="0.25">
      <c r="B863" s="27">
        <v>860</v>
      </c>
      <c r="C863" s="29">
        <v>46.839147466299146</v>
      </c>
      <c r="D863" s="29">
        <v>69.134645523887698</v>
      </c>
      <c r="E863" s="29">
        <v>106.71297425459139</v>
      </c>
      <c r="F863" s="29">
        <v>48.115938036554326</v>
      </c>
      <c r="G863" s="29">
        <v>0</v>
      </c>
      <c r="H863" s="29">
        <v>0</v>
      </c>
      <c r="I863" s="29">
        <v>45.824338449103209</v>
      </c>
      <c r="J863" s="29">
        <v>0</v>
      </c>
      <c r="K863" s="29">
        <v>47.141164285391611</v>
      </c>
      <c r="L863" s="30">
        <v>0</v>
      </c>
      <c r="M863" s="30">
        <v>0</v>
      </c>
    </row>
    <row r="864" spans="2:13" x14ac:dyDescent="0.25">
      <c r="B864" s="27">
        <v>861</v>
      </c>
      <c r="C864" s="29">
        <v>30.133867746529724</v>
      </c>
      <c r="D864" s="29">
        <v>60.222352105828847</v>
      </c>
      <c r="E864" s="29">
        <v>80.026907503276988</v>
      </c>
      <c r="F864" s="29">
        <v>0</v>
      </c>
      <c r="G864" s="29">
        <v>0</v>
      </c>
      <c r="H864" s="29">
        <v>0</v>
      </c>
      <c r="I864" s="29">
        <v>34.139060894349569</v>
      </c>
      <c r="J864" s="29">
        <v>0</v>
      </c>
      <c r="K864" s="29">
        <v>15.997345310552173</v>
      </c>
      <c r="L864" s="30">
        <v>0</v>
      </c>
      <c r="M864" s="30">
        <v>0</v>
      </c>
    </row>
    <row r="865" spans="2:13" x14ac:dyDescent="0.25">
      <c r="B865" s="27">
        <v>862</v>
      </c>
      <c r="C865" s="29">
        <v>48.879855982987735</v>
      </c>
      <c r="D865" s="29">
        <v>0</v>
      </c>
      <c r="E865" s="29">
        <v>101.34704898167894</v>
      </c>
      <c r="F865" s="29">
        <v>34.689693800579292</v>
      </c>
      <c r="G865" s="29">
        <v>0</v>
      </c>
      <c r="H865" s="29">
        <v>0</v>
      </c>
      <c r="I865" s="29">
        <v>47.766076361269761</v>
      </c>
      <c r="J865" s="29">
        <v>0</v>
      </c>
      <c r="K865" s="29">
        <v>31.78336162207755</v>
      </c>
      <c r="L865" s="30">
        <v>0</v>
      </c>
      <c r="M865" s="30">
        <v>0</v>
      </c>
    </row>
    <row r="866" spans="2:13" x14ac:dyDescent="0.25">
      <c r="B866" s="27">
        <v>863</v>
      </c>
      <c r="C866" s="29">
        <v>56.727891464115167</v>
      </c>
      <c r="D866" s="29">
        <v>72.957439596047081</v>
      </c>
      <c r="E866" s="29">
        <v>128.24460870022946</v>
      </c>
      <c r="F866" s="29">
        <v>36.461616181178719</v>
      </c>
      <c r="G866" s="29">
        <v>60.590208934367951</v>
      </c>
      <c r="H866" s="29">
        <v>0</v>
      </c>
      <c r="I866" s="29">
        <v>0</v>
      </c>
      <c r="J866" s="29">
        <v>44.729544524466014</v>
      </c>
      <c r="K866" s="29">
        <v>54.726432711311205</v>
      </c>
      <c r="L866" s="30">
        <v>0</v>
      </c>
      <c r="M866" s="30">
        <v>0</v>
      </c>
    </row>
    <row r="867" spans="2:13" x14ac:dyDescent="0.25">
      <c r="B867" s="27">
        <v>864</v>
      </c>
      <c r="C867" s="29">
        <v>38.767331146924931</v>
      </c>
      <c r="D867" s="29">
        <v>71.789911541129385</v>
      </c>
      <c r="E867" s="29">
        <v>75.589341574423031</v>
      </c>
      <c r="F867" s="29">
        <v>28.581011298616779</v>
      </c>
      <c r="G867" s="29">
        <v>0</v>
      </c>
      <c r="H867" s="29">
        <v>0</v>
      </c>
      <c r="I867" s="29">
        <v>0</v>
      </c>
      <c r="J867" s="29">
        <v>0</v>
      </c>
      <c r="K867" s="29">
        <v>59.150755767423448</v>
      </c>
      <c r="L867" s="30">
        <v>0</v>
      </c>
      <c r="M867" s="30">
        <v>0</v>
      </c>
    </row>
    <row r="868" spans="2:13" x14ac:dyDescent="0.25">
      <c r="B868" s="27">
        <v>865</v>
      </c>
      <c r="C868" s="29">
        <v>33.865535644676058</v>
      </c>
      <c r="D868" s="29">
        <v>60.956778366568244</v>
      </c>
      <c r="E868" s="29">
        <v>135.60509130215115</v>
      </c>
      <c r="F868" s="29">
        <v>41.773497007872969</v>
      </c>
      <c r="G868" s="29">
        <v>35.877920278351368</v>
      </c>
      <c r="H868" s="29">
        <v>0</v>
      </c>
      <c r="I868" s="29">
        <v>68.792169580582723</v>
      </c>
      <c r="J868" s="29">
        <v>0</v>
      </c>
      <c r="K868" s="29">
        <v>0</v>
      </c>
      <c r="L868" s="30">
        <v>38.872269791782237</v>
      </c>
      <c r="M868" s="30">
        <v>0</v>
      </c>
    </row>
    <row r="869" spans="2:13" x14ac:dyDescent="0.25">
      <c r="B869" s="27">
        <v>866</v>
      </c>
      <c r="C869" s="29">
        <v>49.900689184071318</v>
      </c>
      <c r="D869" s="29">
        <v>75.74914272229519</v>
      </c>
      <c r="E869" s="29">
        <v>123.20701419016488</v>
      </c>
      <c r="F869" s="29">
        <v>47.986333170974383</v>
      </c>
      <c r="G869" s="29">
        <v>0</v>
      </c>
      <c r="H869" s="29">
        <v>0</v>
      </c>
      <c r="I869" s="29">
        <v>0</v>
      </c>
      <c r="J869" s="29">
        <v>0</v>
      </c>
      <c r="K869" s="29">
        <v>46.516608299285707</v>
      </c>
      <c r="L869" s="30">
        <v>0</v>
      </c>
      <c r="M869" s="30">
        <v>0</v>
      </c>
    </row>
    <row r="870" spans="2:13" x14ac:dyDescent="0.25">
      <c r="B870" s="27">
        <v>867</v>
      </c>
      <c r="C870" s="29">
        <v>52.874176443972203</v>
      </c>
      <c r="D870" s="29">
        <v>0</v>
      </c>
      <c r="E870" s="29">
        <v>77.937623835877176</v>
      </c>
      <c r="F870" s="29">
        <v>0</v>
      </c>
      <c r="G870" s="29">
        <v>0</v>
      </c>
      <c r="H870" s="29">
        <v>0</v>
      </c>
      <c r="I870" s="29">
        <v>0</v>
      </c>
      <c r="J870" s="29">
        <v>0</v>
      </c>
      <c r="K870" s="29">
        <v>36.709150668724739</v>
      </c>
      <c r="L870" s="30">
        <v>0</v>
      </c>
      <c r="M870" s="30">
        <v>0</v>
      </c>
    </row>
    <row r="871" spans="2:13" x14ac:dyDescent="0.25">
      <c r="B871" s="27">
        <v>868</v>
      </c>
      <c r="C871" s="29">
        <v>0</v>
      </c>
      <c r="D871" s="29">
        <v>0</v>
      </c>
      <c r="E871" s="29">
        <v>0</v>
      </c>
      <c r="F871" s="29">
        <v>62.444251634951435</v>
      </c>
      <c r="G871" s="29">
        <v>0</v>
      </c>
      <c r="H871" s="29">
        <v>52.860793166973174</v>
      </c>
      <c r="I871" s="29">
        <v>0</v>
      </c>
      <c r="J871" s="29">
        <v>0</v>
      </c>
      <c r="K871" s="29">
        <v>0</v>
      </c>
      <c r="L871" s="30">
        <v>0</v>
      </c>
      <c r="M871" s="30">
        <v>0</v>
      </c>
    </row>
    <row r="872" spans="2:13" x14ac:dyDescent="0.25">
      <c r="B872" s="27">
        <v>869</v>
      </c>
      <c r="C872" s="29">
        <v>43.556562877043156</v>
      </c>
      <c r="D872" s="29">
        <v>75.401927133028977</v>
      </c>
      <c r="E872" s="29">
        <v>0</v>
      </c>
      <c r="F872" s="29">
        <v>21.861123046594873</v>
      </c>
      <c r="G872" s="29">
        <v>0</v>
      </c>
      <c r="H872" s="29">
        <v>0</v>
      </c>
      <c r="I872" s="29">
        <v>0</v>
      </c>
      <c r="J872" s="29">
        <v>0</v>
      </c>
      <c r="K872" s="29">
        <v>26.906952925959637</v>
      </c>
      <c r="L872" s="30">
        <v>0</v>
      </c>
      <c r="M872" s="30">
        <v>0</v>
      </c>
    </row>
    <row r="873" spans="2:13" x14ac:dyDescent="0.25">
      <c r="B873" s="27">
        <v>870</v>
      </c>
      <c r="C873" s="29">
        <v>39.223704495370157</v>
      </c>
      <c r="D873" s="29">
        <v>68.511162451512519</v>
      </c>
      <c r="E873" s="29">
        <v>79.774542360491864</v>
      </c>
      <c r="F873" s="29">
        <v>35.198629865370059</v>
      </c>
      <c r="G873" s="29">
        <v>0</v>
      </c>
      <c r="H873" s="29">
        <v>0</v>
      </c>
      <c r="I873" s="29">
        <v>0</v>
      </c>
      <c r="J873" s="29">
        <v>0</v>
      </c>
      <c r="K873" s="29">
        <v>0</v>
      </c>
      <c r="L873" s="30">
        <v>0</v>
      </c>
      <c r="M873" s="30">
        <v>0</v>
      </c>
    </row>
    <row r="874" spans="2:13" x14ac:dyDescent="0.25">
      <c r="B874" s="27">
        <v>871</v>
      </c>
      <c r="C874" s="29">
        <v>0</v>
      </c>
      <c r="D874" s="29">
        <v>77.185411978790242</v>
      </c>
      <c r="E874" s="29">
        <v>0</v>
      </c>
      <c r="F874" s="29">
        <v>52.203443821392945</v>
      </c>
      <c r="G874" s="29">
        <v>0</v>
      </c>
      <c r="H874" s="29">
        <v>0</v>
      </c>
      <c r="I874" s="29">
        <v>0</v>
      </c>
      <c r="J874" s="29">
        <v>0</v>
      </c>
      <c r="K874" s="29">
        <v>31.867904313494599</v>
      </c>
      <c r="L874" s="30">
        <v>0</v>
      </c>
      <c r="M874" s="30">
        <v>0</v>
      </c>
    </row>
    <row r="875" spans="2:13" x14ac:dyDescent="0.25">
      <c r="B875" s="27">
        <v>872</v>
      </c>
      <c r="C875" s="29">
        <v>56.67838558882319</v>
      </c>
      <c r="D875" s="29">
        <v>61.238815867418673</v>
      </c>
      <c r="E875" s="29">
        <v>0</v>
      </c>
      <c r="F875" s="29">
        <v>49.158123669548701</v>
      </c>
      <c r="G875" s="29">
        <v>0</v>
      </c>
      <c r="H875" s="29">
        <v>0</v>
      </c>
      <c r="I875" s="29">
        <v>0</v>
      </c>
      <c r="J875" s="29">
        <v>0</v>
      </c>
      <c r="K875" s="29">
        <v>0</v>
      </c>
      <c r="L875" s="30">
        <v>0</v>
      </c>
      <c r="M875" s="30">
        <v>0</v>
      </c>
    </row>
    <row r="876" spans="2:13" x14ac:dyDescent="0.25">
      <c r="B876" s="27">
        <v>873</v>
      </c>
      <c r="C876" s="29">
        <v>51.900693578390687</v>
      </c>
      <c r="D876" s="29">
        <v>69.886038806234524</v>
      </c>
      <c r="E876" s="29">
        <v>83.416373242529545</v>
      </c>
      <c r="F876" s="29">
        <v>28.254892153603631</v>
      </c>
      <c r="G876" s="29">
        <v>0</v>
      </c>
      <c r="H876" s="29">
        <v>0</v>
      </c>
      <c r="I876" s="29">
        <v>48.337050452951196</v>
      </c>
      <c r="J876" s="29">
        <v>0</v>
      </c>
      <c r="K876" s="29">
        <v>37.094595920783632</v>
      </c>
      <c r="L876" s="30">
        <v>0</v>
      </c>
      <c r="M876" s="30">
        <v>0</v>
      </c>
    </row>
    <row r="877" spans="2:13" x14ac:dyDescent="0.25">
      <c r="B877" s="27">
        <v>874</v>
      </c>
      <c r="C877" s="29">
        <v>46.848681861536463</v>
      </c>
      <c r="D877" s="29">
        <v>63.069627523551063</v>
      </c>
      <c r="E877" s="29">
        <v>101.54389006302958</v>
      </c>
      <c r="F877" s="29">
        <v>28.660982048356423</v>
      </c>
      <c r="G877" s="29">
        <v>0</v>
      </c>
      <c r="H877" s="29">
        <v>0</v>
      </c>
      <c r="I877" s="29">
        <v>0</v>
      </c>
      <c r="J877" s="29">
        <v>0</v>
      </c>
      <c r="K877" s="29">
        <v>0</v>
      </c>
      <c r="L877" s="30">
        <v>0</v>
      </c>
      <c r="M877" s="30">
        <v>0</v>
      </c>
    </row>
    <row r="878" spans="2:13" x14ac:dyDescent="0.25">
      <c r="B878" s="27">
        <v>875</v>
      </c>
      <c r="C878" s="29">
        <v>35.985725933037905</v>
      </c>
      <c r="D878" s="29">
        <v>93.700045668212155</v>
      </c>
      <c r="E878" s="29">
        <v>0</v>
      </c>
      <c r="F878" s="29">
        <v>62.8760693208162</v>
      </c>
      <c r="G878" s="29">
        <v>47.036954269476013</v>
      </c>
      <c r="H878" s="29">
        <v>0</v>
      </c>
      <c r="I878" s="29">
        <v>0</v>
      </c>
      <c r="J878" s="29">
        <v>0</v>
      </c>
      <c r="K878" s="29">
        <v>0</v>
      </c>
      <c r="L878" s="30">
        <v>0</v>
      </c>
      <c r="M878" s="30">
        <v>0</v>
      </c>
    </row>
    <row r="879" spans="2:13" x14ac:dyDescent="0.25">
      <c r="B879" s="27">
        <v>876</v>
      </c>
      <c r="C879" s="29">
        <v>56.898112154313537</v>
      </c>
      <c r="D879" s="29">
        <v>76.305645753915442</v>
      </c>
      <c r="E879" s="29">
        <v>99.418057167206257</v>
      </c>
      <c r="F879" s="29">
        <v>57.965038628454295</v>
      </c>
      <c r="G879" s="29">
        <v>0</v>
      </c>
      <c r="H879" s="29">
        <v>0</v>
      </c>
      <c r="I879" s="29">
        <v>43.176804055473028</v>
      </c>
      <c r="J879" s="29">
        <v>0</v>
      </c>
      <c r="K879" s="29">
        <v>0</v>
      </c>
      <c r="L879" s="30">
        <v>0</v>
      </c>
      <c r="M879" s="30">
        <v>0</v>
      </c>
    </row>
    <row r="880" spans="2:13" x14ac:dyDescent="0.25">
      <c r="B880" s="27">
        <v>877</v>
      </c>
      <c r="C880" s="29">
        <v>38.993143605767557</v>
      </c>
      <c r="D880" s="29">
        <v>73.640844655047587</v>
      </c>
      <c r="E880" s="29">
        <v>0</v>
      </c>
      <c r="F880" s="29">
        <v>41.960208457305214</v>
      </c>
      <c r="G880" s="29">
        <v>0</v>
      </c>
      <c r="H880" s="29">
        <v>0</v>
      </c>
      <c r="I880" s="29">
        <v>0</v>
      </c>
      <c r="J880" s="29">
        <v>0</v>
      </c>
      <c r="K880" s="29">
        <v>0</v>
      </c>
      <c r="L880" s="30">
        <v>0</v>
      </c>
      <c r="M880" s="30">
        <v>0</v>
      </c>
    </row>
    <row r="881" spans="2:13" x14ac:dyDescent="0.25">
      <c r="B881" s="27">
        <v>878</v>
      </c>
      <c r="C881" s="29">
        <v>46.739533402467167</v>
      </c>
      <c r="D881" s="29">
        <v>76.780289077078635</v>
      </c>
      <c r="E881" s="29">
        <v>68.096975563765128</v>
      </c>
      <c r="F881" s="29">
        <v>40.905145410692739</v>
      </c>
      <c r="G881" s="29">
        <v>0</v>
      </c>
      <c r="H881" s="29">
        <v>24.79607725225668</v>
      </c>
      <c r="I881" s="29">
        <v>56.988932556264189</v>
      </c>
      <c r="J881" s="29">
        <v>0</v>
      </c>
      <c r="K881" s="29">
        <v>62.28289825974943</v>
      </c>
      <c r="L881" s="30">
        <v>0</v>
      </c>
      <c r="M881" s="30">
        <v>0</v>
      </c>
    </row>
    <row r="882" spans="2:13" x14ac:dyDescent="0.25">
      <c r="B882" s="27">
        <v>879</v>
      </c>
      <c r="C882" s="29">
        <v>18.833057380177202</v>
      </c>
      <c r="D882" s="29">
        <v>65.322074021799665</v>
      </c>
      <c r="E882" s="29">
        <v>114.75343467676652</v>
      </c>
      <c r="F882" s="29">
        <v>63.263101448539103</v>
      </c>
      <c r="G882" s="29">
        <v>0</v>
      </c>
      <c r="H882" s="29">
        <v>0</v>
      </c>
      <c r="I882" s="29">
        <v>43.1683825310771</v>
      </c>
      <c r="J882" s="29">
        <v>0</v>
      </c>
      <c r="K882" s="29">
        <v>20.051476296023978</v>
      </c>
      <c r="L882" s="30">
        <v>0</v>
      </c>
      <c r="M882" s="30">
        <v>0</v>
      </c>
    </row>
    <row r="883" spans="2:13" x14ac:dyDescent="0.25">
      <c r="B883" s="27">
        <v>880</v>
      </c>
      <c r="C883" s="29">
        <v>39.966894447990512</v>
      </c>
      <c r="D883" s="29">
        <v>76.191623941271004</v>
      </c>
      <c r="E883" s="29">
        <v>115.00273139978752</v>
      </c>
      <c r="F883" s="29">
        <v>36.108347230129823</v>
      </c>
      <c r="G883" s="29">
        <v>0</v>
      </c>
      <c r="H883" s="29">
        <v>0</v>
      </c>
      <c r="I883" s="29">
        <v>0</v>
      </c>
      <c r="J883" s="29">
        <v>0</v>
      </c>
      <c r="K883" s="29">
        <v>29.511982216033747</v>
      </c>
      <c r="L883" s="30">
        <v>0</v>
      </c>
      <c r="M883" s="30">
        <v>0</v>
      </c>
    </row>
    <row r="884" spans="2:13" x14ac:dyDescent="0.25">
      <c r="B884" s="27">
        <v>881</v>
      </c>
      <c r="C884" s="29">
        <v>35.770301331517075</v>
      </c>
      <c r="D884" s="29">
        <v>91.023429644573497</v>
      </c>
      <c r="E884" s="29">
        <v>0</v>
      </c>
      <c r="F884" s="29">
        <v>45.640846402099783</v>
      </c>
      <c r="G884" s="29">
        <v>0</v>
      </c>
      <c r="H884" s="29">
        <v>0</v>
      </c>
      <c r="I884" s="29">
        <v>0</v>
      </c>
      <c r="J884" s="29">
        <v>0</v>
      </c>
      <c r="K884" s="29">
        <v>47.978799265677473</v>
      </c>
      <c r="L884" s="30">
        <v>0</v>
      </c>
      <c r="M884" s="30">
        <v>0</v>
      </c>
    </row>
    <row r="885" spans="2:13" x14ac:dyDescent="0.25">
      <c r="B885" s="27">
        <v>882</v>
      </c>
      <c r="C885" s="29">
        <v>39.122850584871884</v>
      </c>
      <c r="D885" s="29">
        <v>62.231680847793825</v>
      </c>
      <c r="E885" s="29">
        <v>0</v>
      </c>
      <c r="F885" s="29">
        <v>0</v>
      </c>
      <c r="G885" s="29">
        <v>0</v>
      </c>
      <c r="H885" s="29">
        <v>0</v>
      </c>
      <c r="I885" s="29">
        <v>0</v>
      </c>
      <c r="J885" s="29">
        <v>0</v>
      </c>
      <c r="K885" s="29">
        <v>47.191488279668519</v>
      </c>
      <c r="L885" s="30">
        <v>0</v>
      </c>
      <c r="M885" s="30">
        <v>0</v>
      </c>
    </row>
    <row r="886" spans="2:13" x14ac:dyDescent="0.25">
      <c r="B886" s="27">
        <v>883</v>
      </c>
      <c r="C886" s="29">
        <v>34.780756236424175</v>
      </c>
      <c r="D886" s="29">
        <v>67.505838799095514</v>
      </c>
      <c r="E886" s="29">
        <v>0</v>
      </c>
      <c r="F886" s="29">
        <v>26.992066337558107</v>
      </c>
      <c r="G886" s="29">
        <v>0</v>
      </c>
      <c r="H886" s="29">
        <v>0</v>
      </c>
      <c r="I886" s="29">
        <v>0</v>
      </c>
      <c r="J886" s="29">
        <v>0</v>
      </c>
      <c r="K886" s="29">
        <v>0</v>
      </c>
      <c r="L886" s="30">
        <v>36.006494302662034</v>
      </c>
      <c r="M886" s="30">
        <v>0</v>
      </c>
    </row>
    <row r="887" spans="2:13" x14ac:dyDescent="0.25">
      <c r="B887" s="27">
        <v>884</v>
      </c>
      <c r="C887" s="29">
        <v>46.70102609436092</v>
      </c>
      <c r="D887" s="29">
        <v>84.087978673965381</v>
      </c>
      <c r="E887" s="29">
        <v>82.438515203591322</v>
      </c>
      <c r="F887" s="29">
        <v>44.968207844883821</v>
      </c>
      <c r="G887" s="29">
        <v>0</v>
      </c>
      <c r="H887" s="29">
        <v>42.244886285595612</v>
      </c>
      <c r="I887" s="29">
        <v>0</v>
      </c>
      <c r="J887" s="29">
        <v>0</v>
      </c>
      <c r="K887" s="29">
        <v>38.143247165348313</v>
      </c>
      <c r="L887" s="30">
        <v>58.921789111747955</v>
      </c>
      <c r="M887" s="30">
        <v>0</v>
      </c>
    </row>
    <row r="888" spans="2:13" x14ac:dyDescent="0.25">
      <c r="B888" s="27">
        <v>885</v>
      </c>
      <c r="C888" s="29">
        <v>67.455119251304254</v>
      </c>
      <c r="D888" s="29">
        <v>85.905258050454961</v>
      </c>
      <c r="E888" s="29">
        <v>112.88362780567684</v>
      </c>
      <c r="F888" s="29">
        <v>59.620803490975369</v>
      </c>
      <c r="G888" s="29">
        <v>0</v>
      </c>
      <c r="H888" s="29">
        <v>51.4535988470112</v>
      </c>
      <c r="I888" s="29">
        <v>0</v>
      </c>
      <c r="J888" s="29">
        <v>0</v>
      </c>
      <c r="K888" s="29">
        <v>56.25796472892295</v>
      </c>
      <c r="L888" s="30">
        <v>0</v>
      </c>
      <c r="M888" s="30">
        <v>0</v>
      </c>
    </row>
    <row r="889" spans="2:13" x14ac:dyDescent="0.25">
      <c r="B889" s="27">
        <v>886</v>
      </c>
      <c r="C889" s="29">
        <v>49.548585296021365</v>
      </c>
      <c r="D889" s="29">
        <v>0</v>
      </c>
      <c r="E889" s="29">
        <v>91.244367258554504</v>
      </c>
      <c r="F889" s="29">
        <v>52.543477982264633</v>
      </c>
      <c r="G889" s="29">
        <v>0</v>
      </c>
      <c r="H889" s="29">
        <v>32.17773615649223</v>
      </c>
      <c r="I889" s="29">
        <v>0</v>
      </c>
      <c r="J889" s="29">
        <v>0</v>
      </c>
      <c r="K889" s="29">
        <v>68.623560838730114</v>
      </c>
      <c r="L889" s="30">
        <v>0</v>
      </c>
      <c r="M889" s="30">
        <v>0</v>
      </c>
    </row>
    <row r="890" spans="2:13" x14ac:dyDescent="0.25">
      <c r="B890" s="27">
        <v>887</v>
      </c>
      <c r="C890" s="29">
        <v>46.454083347932347</v>
      </c>
      <c r="D890" s="29">
        <v>57.060248840534435</v>
      </c>
      <c r="E890" s="29">
        <v>86.560194931798463</v>
      </c>
      <c r="F890" s="29">
        <v>38.253554095407978</v>
      </c>
      <c r="G890" s="29">
        <v>0</v>
      </c>
      <c r="H890" s="29">
        <v>25.166386992009507</v>
      </c>
      <c r="I890" s="29">
        <v>52.374860760313155</v>
      </c>
      <c r="J890" s="29">
        <v>0</v>
      </c>
      <c r="K890" s="29">
        <v>22.173551709700448</v>
      </c>
      <c r="L890" s="30">
        <v>0</v>
      </c>
      <c r="M890" s="30">
        <v>0</v>
      </c>
    </row>
    <row r="891" spans="2:13" x14ac:dyDescent="0.25">
      <c r="B891" s="27">
        <v>888</v>
      </c>
      <c r="C891" s="29">
        <v>45.919023937600294</v>
      </c>
      <c r="D891" s="29">
        <v>72.156705186420709</v>
      </c>
      <c r="E891" s="29">
        <v>81.319790424571977</v>
      </c>
      <c r="F891" s="29">
        <v>0</v>
      </c>
      <c r="G891" s="29">
        <v>0</v>
      </c>
      <c r="H891" s="29">
        <v>0</v>
      </c>
      <c r="I891" s="29">
        <v>0</v>
      </c>
      <c r="J891" s="29">
        <v>0</v>
      </c>
      <c r="K891" s="29">
        <v>17.074639633886669</v>
      </c>
      <c r="L891" s="30">
        <v>0</v>
      </c>
      <c r="M891" s="30">
        <v>0</v>
      </c>
    </row>
    <row r="892" spans="2:13" x14ac:dyDescent="0.25">
      <c r="B892" s="27">
        <v>889</v>
      </c>
      <c r="C892" s="29">
        <v>28.532730109862939</v>
      </c>
      <c r="D892" s="29">
        <v>0</v>
      </c>
      <c r="E892" s="29">
        <v>111.97009205036727</v>
      </c>
      <c r="F892" s="29">
        <v>40.970896246538231</v>
      </c>
      <c r="G892" s="29">
        <v>0</v>
      </c>
      <c r="H892" s="29">
        <v>0</v>
      </c>
      <c r="I892" s="29">
        <v>61.509300314446826</v>
      </c>
      <c r="J892" s="29">
        <v>0</v>
      </c>
      <c r="K892" s="29">
        <v>36.208867023677982</v>
      </c>
      <c r="L892" s="30">
        <v>0</v>
      </c>
      <c r="M892" s="30">
        <v>0</v>
      </c>
    </row>
    <row r="893" spans="2:13" x14ac:dyDescent="0.25">
      <c r="B893" s="27">
        <v>890</v>
      </c>
      <c r="C893" s="29">
        <v>44.743445184558652</v>
      </c>
      <c r="D893" s="29">
        <v>80.736974589428044</v>
      </c>
      <c r="E893" s="29">
        <v>82.127646624100862</v>
      </c>
      <c r="F893" s="29">
        <v>43.00394203055405</v>
      </c>
      <c r="G893" s="29">
        <v>0</v>
      </c>
      <c r="H893" s="29">
        <v>0</v>
      </c>
      <c r="I893" s="29">
        <v>0</v>
      </c>
      <c r="J893" s="29">
        <v>0</v>
      </c>
      <c r="K893" s="29">
        <v>23.755549680931928</v>
      </c>
      <c r="L893" s="30">
        <v>0</v>
      </c>
      <c r="M893" s="30">
        <v>0</v>
      </c>
    </row>
    <row r="894" spans="2:13" x14ac:dyDescent="0.25">
      <c r="B894" s="27">
        <v>891</v>
      </c>
      <c r="C894" s="29">
        <v>52.671704512578572</v>
      </c>
      <c r="D894" s="29">
        <v>86.369850368960002</v>
      </c>
      <c r="E894" s="29">
        <v>129.88667112206093</v>
      </c>
      <c r="F894" s="29">
        <v>36.99013890229854</v>
      </c>
      <c r="G894" s="29">
        <v>0</v>
      </c>
      <c r="H894" s="29">
        <v>0</v>
      </c>
      <c r="I894" s="29">
        <v>60.963931546325249</v>
      </c>
      <c r="J894" s="29">
        <v>37.495756691907182</v>
      </c>
      <c r="K894" s="29">
        <v>23.739171488413724</v>
      </c>
      <c r="L894" s="30">
        <v>40.357329083764299</v>
      </c>
      <c r="M894" s="30">
        <v>0</v>
      </c>
    </row>
    <row r="895" spans="2:13" x14ac:dyDescent="0.25">
      <c r="B895" s="27">
        <v>892</v>
      </c>
      <c r="C895" s="29">
        <v>16.234706482302609</v>
      </c>
      <c r="D895" s="29">
        <v>73.086837288467621</v>
      </c>
      <c r="E895" s="29">
        <v>106.24170947680369</v>
      </c>
      <c r="F895" s="29">
        <v>37.83884934330176</v>
      </c>
      <c r="G895" s="29">
        <v>0</v>
      </c>
      <c r="H895" s="29">
        <v>0</v>
      </c>
      <c r="I895" s="29">
        <v>16.2257473658692</v>
      </c>
      <c r="J895" s="29">
        <v>0</v>
      </c>
      <c r="K895" s="29">
        <v>42.59893234770103</v>
      </c>
      <c r="L895" s="30">
        <v>0</v>
      </c>
      <c r="M895" s="30">
        <v>0</v>
      </c>
    </row>
    <row r="896" spans="2:13" x14ac:dyDescent="0.25">
      <c r="B896" s="27">
        <v>893</v>
      </c>
      <c r="C896" s="29">
        <v>42.306191380589148</v>
      </c>
      <c r="D896" s="29">
        <v>64.609295647729354</v>
      </c>
      <c r="E896" s="29">
        <v>123.84778786189223</v>
      </c>
      <c r="F896" s="29">
        <v>39.819366904877086</v>
      </c>
      <c r="G896" s="29">
        <v>0</v>
      </c>
      <c r="H896" s="29">
        <v>0</v>
      </c>
      <c r="I896" s="29">
        <v>0</v>
      </c>
      <c r="J896" s="29">
        <v>0</v>
      </c>
      <c r="K896" s="29">
        <v>68.189460553377103</v>
      </c>
      <c r="L896" s="30">
        <v>51.3191352454363</v>
      </c>
      <c r="M896" s="30">
        <v>0</v>
      </c>
    </row>
    <row r="897" spans="2:13" x14ac:dyDescent="0.25">
      <c r="B897" s="27">
        <v>894</v>
      </c>
      <c r="C897" s="29">
        <v>28.228138612229746</v>
      </c>
      <c r="D897" s="29">
        <v>82.356279856175249</v>
      </c>
      <c r="E897" s="29">
        <v>0</v>
      </c>
      <c r="F897" s="29">
        <v>56.483125985830625</v>
      </c>
      <c r="G897" s="29">
        <v>0</v>
      </c>
      <c r="H897" s="29">
        <v>0</v>
      </c>
      <c r="I897" s="29">
        <v>0</v>
      </c>
      <c r="J897" s="29">
        <v>36.199459714948894</v>
      </c>
      <c r="K897" s="29">
        <v>63.347277838388997</v>
      </c>
      <c r="L897" s="30">
        <v>0</v>
      </c>
      <c r="M897" s="30">
        <v>0</v>
      </c>
    </row>
    <row r="898" spans="2:13" x14ac:dyDescent="0.25">
      <c r="B898" s="27">
        <v>895</v>
      </c>
      <c r="C898" s="29">
        <v>34.95888716733527</v>
      </c>
      <c r="D898" s="29">
        <v>67.889442962063697</v>
      </c>
      <c r="E898" s="29">
        <v>77.96219339713295</v>
      </c>
      <c r="F898" s="29">
        <v>66.915969848858452</v>
      </c>
      <c r="G898" s="29">
        <v>0</v>
      </c>
      <c r="H898" s="29">
        <v>0</v>
      </c>
      <c r="I898" s="29">
        <v>0</v>
      </c>
      <c r="J898" s="29">
        <v>64.627710482932741</v>
      </c>
      <c r="K898" s="29">
        <v>46.705090483862357</v>
      </c>
      <c r="L898" s="30">
        <v>0</v>
      </c>
      <c r="M898" s="30">
        <v>0</v>
      </c>
    </row>
    <row r="899" spans="2:13" x14ac:dyDescent="0.25">
      <c r="B899" s="27">
        <v>896</v>
      </c>
      <c r="C899" s="29">
        <v>60.891828176952075</v>
      </c>
      <c r="D899" s="29">
        <v>80.644264661796342</v>
      </c>
      <c r="E899" s="29">
        <v>123.5374200938422</v>
      </c>
      <c r="F899" s="29">
        <v>63.927612126898069</v>
      </c>
      <c r="G899" s="29">
        <v>42.868412625012581</v>
      </c>
      <c r="H899" s="29">
        <v>0</v>
      </c>
      <c r="I899" s="29">
        <v>0</v>
      </c>
      <c r="J899" s="29">
        <v>51.371597329203489</v>
      </c>
      <c r="K899" s="29">
        <v>15.589669106214266</v>
      </c>
      <c r="L899" s="30">
        <v>0</v>
      </c>
      <c r="M899" s="30">
        <v>0</v>
      </c>
    </row>
    <row r="900" spans="2:13" x14ac:dyDescent="0.25">
      <c r="B900" s="27">
        <v>897</v>
      </c>
      <c r="C900" s="29">
        <v>36.153843008082724</v>
      </c>
      <c r="D900" s="29">
        <v>58.832869514882503</v>
      </c>
      <c r="E900" s="29">
        <v>69.446865893063531</v>
      </c>
      <c r="F900" s="29">
        <v>61.885261566123688</v>
      </c>
      <c r="G900" s="29">
        <v>0</v>
      </c>
      <c r="H900" s="29">
        <v>0</v>
      </c>
      <c r="I900" s="29">
        <v>0</v>
      </c>
      <c r="J900" s="29">
        <v>0</v>
      </c>
      <c r="K900" s="29">
        <v>45.970571404907645</v>
      </c>
      <c r="L900" s="30">
        <v>0</v>
      </c>
      <c r="M900" s="30">
        <v>0</v>
      </c>
    </row>
    <row r="901" spans="2:13" x14ac:dyDescent="0.25">
      <c r="B901" s="27">
        <v>898</v>
      </c>
      <c r="C901" s="29">
        <v>43.032085933591198</v>
      </c>
      <c r="D901" s="29">
        <v>82.058937260061725</v>
      </c>
      <c r="E901" s="29">
        <v>0</v>
      </c>
      <c r="F901" s="29">
        <v>0</v>
      </c>
      <c r="G901" s="29">
        <v>63.755096179746168</v>
      </c>
      <c r="H901" s="29">
        <v>0</v>
      </c>
      <c r="I901" s="29">
        <v>0</v>
      </c>
      <c r="J901" s="29">
        <v>29.302465153900073</v>
      </c>
      <c r="K901" s="29">
        <v>0</v>
      </c>
      <c r="L901" s="30">
        <v>0</v>
      </c>
      <c r="M901" s="30">
        <v>0</v>
      </c>
    </row>
    <row r="902" spans="2:13" x14ac:dyDescent="0.25">
      <c r="B902" s="27">
        <v>899</v>
      </c>
      <c r="C902" s="29">
        <v>59.467336518023146</v>
      </c>
      <c r="D902" s="29">
        <v>0</v>
      </c>
      <c r="E902" s="29">
        <v>100.82304550917738</v>
      </c>
      <c r="F902" s="29">
        <v>64.520654612409118</v>
      </c>
      <c r="G902" s="29">
        <v>0</v>
      </c>
      <c r="H902" s="29">
        <v>0</v>
      </c>
      <c r="I902" s="29">
        <v>67.015226449345647</v>
      </c>
      <c r="J902" s="29">
        <v>36.142002268618384</v>
      </c>
      <c r="K902" s="29">
        <v>50.98627819600852</v>
      </c>
      <c r="L902" s="30">
        <v>0</v>
      </c>
      <c r="M902" s="30">
        <v>0</v>
      </c>
    </row>
    <row r="903" spans="2:13" x14ac:dyDescent="0.25">
      <c r="B903" s="27">
        <v>900</v>
      </c>
      <c r="C903" s="29">
        <v>48.721004477090197</v>
      </c>
      <c r="D903" s="29">
        <v>62.276247772471457</v>
      </c>
      <c r="E903" s="29">
        <v>0</v>
      </c>
      <c r="F903" s="29">
        <v>46.74512959131021</v>
      </c>
      <c r="G903" s="29">
        <v>0</v>
      </c>
      <c r="H903" s="29">
        <v>0</v>
      </c>
      <c r="I903" s="29">
        <v>0</v>
      </c>
      <c r="J903" s="29">
        <v>0</v>
      </c>
      <c r="K903" s="29">
        <v>48.897356130302889</v>
      </c>
      <c r="L903" s="30">
        <v>0</v>
      </c>
      <c r="M903" s="30">
        <v>0</v>
      </c>
    </row>
    <row r="904" spans="2:13" x14ac:dyDescent="0.25">
      <c r="B904" s="27">
        <v>901</v>
      </c>
      <c r="C904" s="29">
        <v>0</v>
      </c>
      <c r="D904" s="29">
        <v>62.701599245547705</v>
      </c>
      <c r="E904" s="29">
        <v>79.731875984493911</v>
      </c>
      <c r="F904" s="29">
        <v>54.979839709771412</v>
      </c>
      <c r="G904" s="29">
        <v>0</v>
      </c>
      <c r="H904" s="29">
        <v>0</v>
      </c>
      <c r="I904" s="29">
        <v>0</v>
      </c>
      <c r="J904" s="29">
        <v>41.301427282314023</v>
      </c>
      <c r="K904" s="29">
        <v>49.32485883481646</v>
      </c>
      <c r="L904" s="30">
        <v>0</v>
      </c>
      <c r="M904" s="30">
        <v>0</v>
      </c>
    </row>
    <row r="905" spans="2:13" x14ac:dyDescent="0.25">
      <c r="B905" s="27">
        <v>902</v>
      </c>
      <c r="C905" s="29">
        <v>55.798814186985325</v>
      </c>
      <c r="D905" s="29">
        <v>89.14901160670459</v>
      </c>
      <c r="E905" s="29">
        <v>81.319872309023452</v>
      </c>
      <c r="F905" s="29">
        <v>58.458733451530037</v>
      </c>
      <c r="G905" s="29">
        <v>0</v>
      </c>
      <c r="H905" s="29">
        <v>0</v>
      </c>
      <c r="I905" s="29">
        <v>0</v>
      </c>
      <c r="J905" s="29">
        <v>0</v>
      </c>
      <c r="K905" s="29">
        <v>50.201492373315666</v>
      </c>
      <c r="L905" s="30">
        <v>0</v>
      </c>
      <c r="M905" s="30">
        <v>0</v>
      </c>
    </row>
    <row r="906" spans="2:13" x14ac:dyDescent="0.25">
      <c r="B906" s="27">
        <v>903</v>
      </c>
      <c r="C906" s="29">
        <v>68.110673251221002</v>
      </c>
      <c r="D906" s="29">
        <v>75.788092437354891</v>
      </c>
      <c r="E906" s="29">
        <v>105.84791140065914</v>
      </c>
      <c r="F906" s="29">
        <v>21.606172674286547</v>
      </c>
      <c r="G906" s="29">
        <v>0</v>
      </c>
      <c r="H906" s="29">
        <v>0</v>
      </c>
      <c r="I906" s="29">
        <v>29.176107400342321</v>
      </c>
      <c r="J906" s="29">
        <v>52.709755179666779</v>
      </c>
      <c r="K906" s="29">
        <v>36.92309204859562</v>
      </c>
      <c r="L906" s="30">
        <v>0</v>
      </c>
      <c r="M906" s="30">
        <v>0</v>
      </c>
    </row>
    <row r="907" spans="2:13" x14ac:dyDescent="0.25">
      <c r="B907" s="27">
        <v>904</v>
      </c>
      <c r="C907" s="29">
        <v>0</v>
      </c>
      <c r="D907" s="29">
        <v>83.912616350836203</v>
      </c>
      <c r="E907" s="29">
        <v>105.73077787446377</v>
      </c>
      <c r="F907" s="29">
        <v>49.938593084480594</v>
      </c>
      <c r="G907" s="29">
        <v>53.102622287316713</v>
      </c>
      <c r="H907" s="29">
        <v>0</v>
      </c>
      <c r="I907" s="29">
        <v>34.254917021383555</v>
      </c>
      <c r="J907" s="29">
        <v>0</v>
      </c>
      <c r="K907" s="29">
        <v>20.129981615881757</v>
      </c>
      <c r="L907" s="30">
        <v>0</v>
      </c>
      <c r="M907" s="30">
        <v>0</v>
      </c>
    </row>
    <row r="908" spans="2:13" x14ac:dyDescent="0.25">
      <c r="B908" s="27">
        <v>905</v>
      </c>
      <c r="C908" s="29">
        <v>62.963283020065752</v>
      </c>
      <c r="D908" s="29">
        <v>65.045486225896923</v>
      </c>
      <c r="E908" s="29">
        <v>88.573877239179126</v>
      </c>
      <c r="F908" s="29">
        <v>47.886304885800691</v>
      </c>
      <c r="G908" s="29">
        <v>62.960842385338296</v>
      </c>
      <c r="H908" s="29">
        <v>0</v>
      </c>
      <c r="I908" s="29">
        <v>0</v>
      </c>
      <c r="J908" s="29">
        <v>0</v>
      </c>
      <c r="K908" s="29">
        <v>50.402985477726965</v>
      </c>
      <c r="L908" s="30">
        <v>0</v>
      </c>
      <c r="M908" s="30">
        <v>0</v>
      </c>
    </row>
    <row r="909" spans="2:13" x14ac:dyDescent="0.25">
      <c r="B909" s="27">
        <v>906</v>
      </c>
      <c r="C909" s="29">
        <v>65.532941248999549</v>
      </c>
      <c r="D909" s="29">
        <v>74.533386603499423</v>
      </c>
      <c r="E909" s="29">
        <v>0</v>
      </c>
      <c r="F909" s="29">
        <v>0</v>
      </c>
      <c r="G909" s="29">
        <v>0</v>
      </c>
      <c r="H909" s="29">
        <v>0</v>
      </c>
      <c r="I909" s="29">
        <v>61.672004245865111</v>
      </c>
      <c r="J909" s="29">
        <v>0</v>
      </c>
      <c r="K909" s="29">
        <v>29.809420140458752</v>
      </c>
      <c r="L909" s="30">
        <v>0</v>
      </c>
      <c r="M909" s="30">
        <v>0</v>
      </c>
    </row>
    <row r="910" spans="2:13" x14ac:dyDescent="0.25">
      <c r="B910" s="27">
        <v>907</v>
      </c>
      <c r="C910" s="29">
        <v>28.04910004002193</v>
      </c>
      <c r="D910" s="29">
        <v>0</v>
      </c>
      <c r="E910" s="29">
        <v>0</v>
      </c>
      <c r="F910" s="29">
        <v>0</v>
      </c>
      <c r="G910" s="29">
        <v>0</v>
      </c>
      <c r="H910" s="29">
        <v>0</v>
      </c>
      <c r="I910" s="29">
        <v>0</v>
      </c>
      <c r="J910" s="29">
        <v>0</v>
      </c>
      <c r="K910" s="29">
        <v>50.816965713592396</v>
      </c>
      <c r="L910" s="30">
        <v>0</v>
      </c>
      <c r="M910" s="30">
        <v>0</v>
      </c>
    </row>
    <row r="911" spans="2:13" x14ac:dyDescent="0.25">
      <c r="B911" s="27">
        <v>908</v>
      </c>
      <c r="C911" s="29">
        <v>47.80017726513659</v>
      </c>
      <c r="D911" s="29">
        <v>76.052024549264885</v>
      </c>
      <c r="E911" s="29">
        <v>86.888670536242614</v>
      </c>
      <c r="F911" s="29">
        <v>68.26288833170409</v>
      </c>
      <c r="G911" s="29">
        <v>0</v>
      </c>
      <c r="H911" s="29">
        <v>0</v>
      </c>
      <c r="I911" s="29">
        <v>0</v>
      </c>
      <c r="J911" s="29">
        <v>53.984663616191952</v>
      </c>
      <c r="K911" s="29">
        <v>54.655389235905339</v>
      </c>
      <c r="L911" s="30">
        <v>31.38645691098851</v>
      </c>
      <c r="M911" s="30">
        <v>0</v>
      </c>
    </row>
    <row r="912" spans="2:13" x14ac:dyDescent="0.25">
      <c r="B912" s="27">
        <v>909</v>
      </c>
      <c r="C912" s="29">
        <v>49.377500280772168</v>
      </c>
      <c r="D912" s="29">
        <v>78.926173406979117</v>
      </c>
      <c r="E912" s="29">
        <v>0</v>
      </c>
      <c r="F912" s="29">
        <v>35.341214868280531</v>
      </c>
      <c r="G912" s="29">
        <v>0</v>
      </c>
      <c r="H912" s="29">
        <v>0</v>
      </c>
      <c r="I912" s="29">
        <v>0</v>
      </c>
      <c r="J912" s="29">
        <v>32.611987269997464</v>
      </c>
      <c r="K912" s="29">
        <v>26.273775873121206</v>
      </c>
      <c r="L912" s="30">
        <v>0</v>
      </c>
      <c r="M912" s="30">
        <v>0</v>
      </c>
    </row>
    <row r="913" spans="2:13" x14ac:dyDescent="0.25">
      <c r="B913" s="27">
        <v>910</v>
      </c>
      <c r="C913" s="29">
        <v>24.321504452193231</v>
      </c>
      <c r="D913" s="29">
        <v>78.411364576359844</v>
      </c>
      <c r="E913" s="29">
        <v>72.355348335228967</v>
      </c>
      <c r="F913" s="29">
        <v>50.761119714248927</v>
      </c>
      <c r="G913" s="29">
        <v>0</v>
      </c>
      <c r="H913" s="29">
        <v>0</v>
      </c>
      <c r="I913" s="29">
        <v>0</v>
      </c>
      <c r="J913" s="29">
        <v>0</v>
      </c>
      <c r="K913" s="29">
        <v>52.05971746070216</v>
      </c>
      <c r="L913" s="30">
        <v>0</v>
      </c>
      <c r="M913" s="30">
        <v>0</v>
      </c>
    </row>
    <row r="914" spans="2:13" x14ac:dyDescent="0.25">
      <c r="B914" s="27">
        <v>911</v>
      </c>
      <c r="C914" s="29">
        <v>49.084341835002157</v>
      </c>
      <c r="D914" s="29">
        <v>79.412253460056803</v>
      </c>
      <c r="E914" s="29">
        <v>84.997834080396828</v>
      </c>
      <c r="F914" s="29">
        <v>46.774980355609074</v>
      </c>
      <c r="G914" s="29">
        <v>0</v>
      </c>
      <c r="H914" s="29">
        <v>0</v>
      </c>
      <c r="I914" s="29">
        <v>0</v>
      </c>
      <c r="J914" s="29">
        <v>0</v>
      </c>
      <c r="K914" s="29">
        <v>51.000158776052984</v>
      </c>
      <c r="L914" s="30">
        <v>17.189181835022264</v>
      </c>
      <c r="M914" s="30">
        <v>0</v>
      </c>
    </row>
    <row r="915" spans="2:13" x14ac:dyDescent="0.25">
      <c r="B915" s="27">
        <v>912</v>
      </c>
      <c r="C915" s="29">
        <v>0</v>
      </c>
      <c r="D915" s="29">
        <v>89.904194210241911</v>
      </c>
      <c r="E915" s="29">
        <v>87.040782896376072</v>
      </c>
      <c r="F915" s="29">
        <v>30.292060894293865</v>
      </c>
      <c r="G915" s="29">
        <v>0</v>
      </c>
      <c r="H915" s="29">
        <v>0</v>
      </c>
      <c r="I915" s="29">
        <v>0</v>
      </c>
      <c r="J915" s="29">
        <v>0</v>
      </c>
      <c r="K915" s="29">
        <v>51.529632258221085</v>
      </c>
      <c r="L915" s="30">
        <v>0</v>
      </c>
      <c r="M915" s="30">
        <v>0</v>
      </c>
    </row>
    <row r="916" spans="2:13" x14ac:dyDescent="0.25">
      <c r="B916" s="27">
        <v>913</v>
      </c>
      <c r="C916" s="29">
        <v>48.421451778925977</v>
      </c>
      <c r="D916" s="29">
        <v>71.98679091630018</v>
      </c>
      <c r="E916" s="29">
        <v>78.827217402862715</v>
      </c>
      <c r="F916" s="29">
        <v>37.585417627887878</v>
      </c>
      <c r="G916" s="29">
        <v>0</v>
      </c>
      <c r="H916" s="29">
        <v>0</v>
      </c>
      <c r="I916" s="29">
        <v>0</v>
      </c>
      <c r="J916" s="29">
        <v>0</v>
      </c>
      <c r="K916" s="29">
        <v>55.902154268442089</v>
      </c>
      <c r="L916" s="30">
        <v>0</v>
      </c>
      <c r="M916" s="30">
        <v>0</v>
      </c>
    </row>
    <row r="917" spans="2:13" x14ac:dyDescent="0.25">
      <c r="B917" s="27">
        <v>914</v>
      </c>
      <c r="C917" s="29">
        <v>41.632520748923469</v>
      </c>
      <c r="D917" s="29">
        <v>72.490732174080449</v>
      </c>
      <c r="E917" s="29">
        <v>108.15886586649698</v>
      </c>
      <c r="F917" s="29">
        <v>53.472711394247604</v>
      </c>
      <c r="G917" s="29">
        <v>0</v>
      </c>
      <c r="H917" s="29">
        <v>0</v>
      </c>
      <c r="I917" s="29">
        <v>43.826945032824767</v>
      </c>
      <c r="J917" s="29">
        <v>0</v>
      </c>
      <c r="K917" s="29">
        <v>45.453338525897266</v>
      </c>
      <c r="L917" s="30">
        <v>0</v>
      </c>
      <c r="M917" s="30">
        <v>0</v>
      </c>
    </row>
    <row r="918" spans="2:13" x14ac:dyDescent="0.25">
      <c r="B918" s="27">
        <v>915</v>
      </c>
      <c r="C918" s="29">
        <v>35.486378670433695</v>
      </c>
      <c r="D918" s="29">
        <v>61.476182964287204</v>
      </c>
      <c r="E918" s="29">
        <v>94.354640585727878</v>
      </c>
      <c r="F918" s="29">
        <v>56.78945875976234</v>
      </c>
      <c r="G918" s="29">
        <v>0</v>
      </c>
      <c r="H918" s="29">
        <v>0</v>
      </c>
      <c r="I918" s="29">
        <v>11.221042814959407</v>
      </c>
      <c r="J918" s="29">
        <v>0</v>
      </c>
      <c r="K918" s="29">
        <v>39.541754914110449</v>
      </c>
      <c r="L918" s="30">
        <v>0</v>
      </c>
      <c r="M918" s="30">
        <v>0</v>
      </c>
    </row>
    <row r="919" spans="2:13" x14ac:dyDescent="0.25">
      <c r="B919" s="27">
        <v>916</v>
      </c>
      <c r="C919" s="29">
        <v>37.228197143299951</v>
      </c>
      <c r="D919" s="29">
        <v>73.42447201585631</v>
      </c>
      <c r="E919" s="29">
        <v>116.34948401132689</v>
      </c>
      <c r="F919" s="29">
        <v>56.285662692395007</v>
      </c>
      <c r="G919" s="29">
        <v>0</v>
      </c>
      <c r="H919" s="29">
        <v>0</v>
      </c>
      <c r="I919" s="29">
        <v>0</v>
      </c>
      <c r="J919" s="29">
        <v>44.662056190389642</v>
      </c>
      <c r="K919" s="29">
        <v>63.876052971378762</v>
      </c>
      <c r="L919" s="30">
        <v>0</v>
      </c>
      <c r="M919" s="30">
        <v>0</v>
      </c>
    </row>
    <row r="920" spans="2:13" x14ac:dyDescent="0.25">
      <c r="B920" s="27">
        <v>917</v>
      </c>
      <c r="C920" s="29">
        <v>28.515415692741112</v>
      </c>
      <c r="D920" s="29">
        <v>84.104745629031655</v>
      </c>
      <c r="E920" s="29">
        <v>65.81549364713878</v>
      </c>
      <c r="F920" s="29">
        <v>44.720897979621554</v>
      </c>
      <c r="G920" s="29">
        <v>0</v>
      </c>
      <c r="H920" s="29">
        <v>0</v>
      </c>
      <c r="I920" s="29">
        <v>60.253180072814985</v>
      </c>
      <c r="J920" s="29">
        <v>40.547559251624463</v>
      </c>
      <c r="K920" s="29">
        <v>46.66380000503252</v>
      </c>
      <c r="L920" s="30">
        <v>0</v>
      </c>
      <c r="M920" s="30">
        <v>0</v>
      </c>
    </row>
    <row r="921" spans="2:13" x14ac:dyDescent="0.25">
      <c r="B921" s="27">
        <v>918</v>
      </c>
      <c r="C921" s="29">
        <v>42.104664842197245</v>
      </c>
      <c r="D921" s="29">
        <v>63.512763069084457</v>
      </c>
      <c r="E921" s="29">
        <v>125.30198945817808</v>
      </c>
      <c r="F921" s="29">
        <v>41.8406657807177</v>
      </c>
      <c r="G921" s="29">
        <v>0</v>
      </c>
      <c r="H921" s="29">
        <v>41.949535011836915</v>
      </c>
      <c r="I921" s="29">
        <v>0</v>
      </c>
      <c r="J921" s="29">
        <v>0</v>
      </c>
      <c r="K921" s="29">
        <v>39.340953814387163</v>
      </c>
      <c r="L921" s="30">
        <v>0</v>
      </c>
      <c r="M921" s="30">
        <v>0</v>
      </c>
    </row>
    <row r="922" spans="2:13" x14ac:dyDescent="0.25">
      <c r="B922" s="27">
        <v>919</v>
      </c>
      <c r="C922" s="29">
        <v>36.768014747677483</v>
      </c>
      <c r="D922" s="29">
        <v>65.648841427056198</v>
      </c>
      <c r="E922" s="29">
        <v>75.460906821001686</v>
      </c>
      <c r="F922" s="29">
        <v>52.555650907742773</v>
      </c>
      <c r="G922" s="29">
        <v>0</v>
      </c>
      <c r="H922" s="29">
        <v>0</v>
      </c>
      <c r="I922" s="29">
        <v>0</v>
      </c>
      <c r="J922" s="29">
        <v>0</v>
      </c>
      <c r="K922" s="29">
        <v>47.488982341717765</v>
      </c>
      <c r="L922" s="30">
        <v>0</v>
      </c>
      <c r="M922" s="30">
        <v>0</v>
      </c>
    </row>
    <row r="923" spans="2:13" x14ac:dyDescent="0.25">
      <c r="B923" s="27">
        <v>920</v>
      </c>
      <c r="C923" s="29">
        <v>63.087694603925087</v>
      </c>
      <c r="D923" s="29">
        <v>75.393379514541181</v>
      </c>
      <c r="E923" s="29">
        <v>79.385690266777189</v>
      </c>
      <c r="F923" s="29">
        <v>25.590650111365669</v>
      </c>
      <c r="G923" s="29">
        <v>0</v>
      </c>
      <c r="H923" s="29">
        <v>0</v>
      </c>
      <c r="I923" s="29">
        <v>0</v>
      </c>
      <c r="J923" s="29">
        <v>0</v>
      </c>
      <c r="K923" s="29">
        <v>0</v>
      </c>
      <c r="L923" s="30">
        <v>0</v>
      </c>
      <c r="M923" s="30">
        <v>0</v>
      </c>
    </row>
    <row r="924" spans="2:13" x14ac:dyDescent="0.25">
      <c r="B924" s="27">
        <v>921</v>
      </c>
      <c r="C924" s="29">
        <v>59.653512743464972</v>
      </c>
      <c r="D924" s="29">
        <v>70.695880068227581</v>
      </c>
      <c r="E924" s="29">
        <v>72.618603067059212</v>
      </c>
      <c r="F924" s="29">
        <v>0</v>
      </c>
      <c r="G924" s="29">
        <v>0</v>
      </c>
      <c r="H924" s="29">
        <v>43.129941181938186</v>
      </c>
      <c r="I924" s="29">
        <v>0</v>
      </c>
      <c r="J924" s="29">
        <v>0</v>
      </c>
      <c r="K924" s="29">
        <v>32.359379133295803</v>
      </c>
      <c r="L924" s="30">
        <v>0</v>
      </c>
      <c r="M924" s="30">
        <v>0</v>
      </c>
    </row>
    <row r="925" spans="2:13" x14ac:dyDescent="0.25">
      <c r="B925" s="27">
        <v>922</v>
      </c>
      <c r="C925" s="29">
        <v>56.222066365618232</v>
      </c>
      <c r="D925" s="29">
        <v>83.442947611572635</v>
      </c>
      <c r="E925" s="29">
        <v>137.44897487762728</v>
      </c>
      <c r="F925" s="29">
        <v>44.736783724746033</v>
      </c>
      <c r="G925" s="29">
        <v>0</v>
      </c>
      <c r="H925" s="29">
        <v>0</v>
      </c>
      <c r="I925" s="29">
        <v>0</v>
      </c>
      <c r="J925" s="29">
        <v>0</v>
      </c>
      <c r="K925" s="29">
        <v>0</v>
      </c>
      <c r="L925" s="30">
        <v>63.715648096265326</v>
      </c>
      <c r="M925" s="30">
        <v>0</v>
      </c>
    </row>
    <row r="926" spans="2:13" x14ac:dyDescent="0.25">
      <c r="B926" s="27">
        <v>923</v>
      </c>
      <c r="C926" s="29">
        <v>58.297425594963073</v>
      </c>
      <c r="D926" s="29">
        <v>72.916564045762328</v>
      </c>
      <c r="E926" s="29">
        <v>0</v>
      </c>
      <c r="F926" s="29">
        <v>51.707060043245519</v>
      </c>
      <c r="G926" s="29">
        <v>20.959320724194459</v>
      </c>
      <c r="H926" s="29">
        <v>0</v>
      </c>
      <c r="I926" s="29">
        <v>48.519240916414276</v>
      </c>
      <c r="J926" s="29">
        <v>0</v>
      </c>
      <c r="K926" s="29">
        <v>31.712811854543855</v>
      </c>
      <c r="L926" s="30">
        <v>0</v>
      </c>
      <c r="M926" s="30">
        <v>0</v>
      </c>
    </row>
    <row r="927" spans="2:13" x14ac:dyDescent="0.25">
      <c r="B927" s="27">
        <v>924</v>
      </c>
      <c r="C927" s="29">
        <v>30.531366845337335</v>
      </c>
      <c r="D927" s="29">
        <v>97.217118318804253</v>
      </c>
      <c r="E927" s="29">
        <v>90.58933320867888</v>
      </c>
      <c r="F927" s="29">
        <v>30.335977640534974</v>
      </c>
      <c r="G927" s="29">
        <v>0</v>
      </c>
      <c r="H927" s="29">
        <v>34.606744529200391</v>
      </c>
      <c r="I927" s="29">
        <v>0</v>
      </c>
      <c r="J927" s="29">
        <v>0</v>
      </c>
      <c r="K927" s="29">
        <v>0</v>
      </c>
      <c r="L927" s="30">
        <v>0</v>
      </c>
      <c r="M927" s="30">
        <v>0</v>
      </c>
    </row>
    <row r="928" spans="2:13" x14ac:dyDescent="0.25">
      <c r="B928" s="27">
        <v>925</v>
      </c>
      <c r="C928" s="29">
        <v>0</v>
      </c>
      <c r="D928" s="29">
        <v>61.2221576294504</v>
      </c>
      <c r="E928" s="29">
        <v>89.313115336270329</v>
      </c>
      <c r="F928" s="29">
        <v>17.278718189091474</v>
      </c>
      <c r="G928" s="29">
        <v>0</v>
      </c>
      <c r="H928" s="29">
        <v>53.703134784285567</v>
      </c>
      <c r="I928" s="29">
        <v>27.958771473628641</v>
      </c>
      <c r="J928" s="29">
        <v>0</v>
      </c>
      <c r="K928" s="29">
        <v>37.633218061347449</v>
      </c>
      <c r="L928" s="30">
        <v>0</v>
      </c>
      <c r="M928" s="30">
        <v>0</v>
      </c>
    </row>
    <row r="929" spans="2:13" x14ac:dyDescent="0.25">
      <c r="B929" s="27">
        <v>926</v>
      </c>
      <c r="C929" s="29">
        <v>32.562923999487992</v>
      </c>
      <c r="D929" s="29">
        <v>66.693370848916942</v>
      </c>
      <c r="E929" s="29">
        <v>0</v>
      </c>
      <c r="F929" s="29">
        <v>42.355983568663703</v>
      </c>
      <c r="G929" s="29">
        <v>0</v>
      </c>
      <c r="H929" s="29">
        <v>0</v>
      </c>
      <c r="I929" s="29">
        <v>40.09696485375266</v>
      </c>
      <c r="J929" s="29">
        <v>0</v>
      </c>
      <c r="K929" s="29">
        <v>52.056389122359406</v>
      </c>
      <c r="L929" s="30">
        <v>0</v>
      </c>
      <c r="M929" s="30">
        <v>0</v>
      </c>
    </row>
    <row r="930" spans="2:13" x14ac:dyDescent="0.25">
      <c r="B930" s="27">
        <v>927</v>
      </c>
      <c r="C930" s="29">
        <v>46.446992799433126</v>
      </c>
      <c r="D930" s="29">
        <v>70.552348477290224</v>
      </c>
      <c r="E930" s="29">
        <v>135.06229314954257</v>
      </c>
      <c r="F930" s="29">
        <v>47.32601654119388</v>
      </c>
      <c r="G930" s="29">
        <v>0</v>
      </c>
      <c r="H930" s="29">
        <v>0</v>
      </c>
      <c r="I930" s="29">
        <v>0</v>
      </c>
      <c r="J930" s="29">
        <v>0</v>
      </c>
      <c r="K930" s="29">
        <v>67.234569626482369</v>
      </c>
      <c r="L930" s="30">
        <v>0</v>
      </c>
      <c r="M930" s="30">
        <v>0</v>
      </c>
    </row>
    <row r="931" spans="2:13" x14ac:dyDescent="0.25">
      <c r="B931" s="27">
        <v>928</v>
      </c>
      <c r="C931" s="29">
        <v>50.134875278596645</v>
      </c>
      <c r="D931" s="29">
        <v>83.490009117171397</v>
      </c>
      <c r="E931" s="29">
        <v>0</v>
      </c>
      <c r="F931" s="29">
        <v>0</v>
      </c>
      <c r="G931" s="29">
        <v>0</v>
      </c>
      <c r="H931" s="29">
        <v>44.554844628604386</v>
      </c>
      <c r="I931" s="29">
        <v>25.308720985940774</v>
      </c>
      <c r="J931" s="29">
        <v>0</v>
      </c>
      <c r="K931" s="29">
        <v>30.033858712988156</v>
      </c>
      <c r="L931" s="30">
        <v>0</v>
      </c>
      <c r="M931" s="30">
        <v>0</v>
      </c>
    </row>
    <row r="932" spans="2:13" x14ac:dyDescent="0.25">
      <c r="B932" s="27">
        <v>929</v>
      </c>
      <c r="C932" s="29">
        <v>42.60387385830176</v>
      </c>
      <c r="D932" s="29">
        <v>73.972962425059478</v>
      </c>
      <c r="E932" s="29">
        <v>0</v>
      </c>
      <c r="F932" s="29">
        <v>51.760068327703245</v>
      </c>
      <c r="G932" s="29">
        <v>0</v>
      </c>
      <c r="H932" s="29">
        <v>64.347845071773278</v>
      </c>
      <c r="I932" s="29">
        <v>54.772447487109822</v>
      </c>
      <c r="J932" s="29">
        <v>0</v>
      </c>
      <c r="K932" s="29">
        <v>65.022721778433734</v>
      </c>
      <c r="L932" s="30">
        <v>0</v>
      </c>
      <c r="M932" s="30">
        <v>0</v>
      </c>
    </row>
    <row r="933" spans="2:13" x14ac:dyDescent="0.25">
      <c r="B933" s="27">
        <v>930</v>
      </c>
      <c r="C933" s="29">
        <v>0</v>
      </c>
      <c r="D933" s="29">
        <v>81.153817189877046</v>
      </c>
      <c r="E933" s="29">
        <v>96.018488512563323</v>
      </c>
      <c r="F933" s="29">
        <v>21.200252878671726</v>
      </c>
      <c r="G933" s="29">
        <v>0</v>
      </c>
      <c r="H933" s="29">
        <v>46.305973560434339</v>
      </c>
      <c r="I933" s="29">
        <v>0</v>
      </c>
      <c r="J933" s="29">
        <v>0</v>
      </c>
      <c r="K933" s="29">
        <v>52.380727231206009</v>
      </c>
      <c r="L933" s="30">
        <v>0</v>
      </c>
      <c r="M933" s="30">
        <v>0</v>
      </c>
    </row>
    <row r="934" spans="2:13" x14ac:dyDescent="0.25">
      <c r="B934" s="27">
        <v>931</v>
      </c>
      <c r="C934" s="29">
        <v>47.090186801083263</v>
      </c>
      <c r="D934" s="29">
        <v>84.451252204692537</v>
      </c>
      <c r="E934" s="29">
        <v>83.350492684163044</v>
      </c>
      <c r="F934" s="29">
        <v>44.02009303709967</v>
      </c>
      <c r="G934" s="29">
        <v>0</v>
      </c>
      <c r="H934" s="29">
        <v>0</v>
      </c>
      <c r="I934" s="29">
        <v>0</v>
      </c>
      <c r="J934" s="29">
        <v>0</v>
      </c>
      <c r="K934" s="29">
        <v>49.181060992375734</v>
      </c>
      <c r="L934" s="30">
        <v>0</v>
      </c>
      <c r="M934" s="30">
        <v>0</v>
      </c>
    </row>
    <row r="935" spans="2:13" x14ac:dyDescent="0.25">
      <c r="B935" s="27">
        <v>932</v>
      </c>
      <c r="C935" s="29">
        <v>29.57840194547315</v>
      </c>
      <c r="D935" s="29">
        <v>88.971750716754613</v>
      </c>
      <c r="E935" s="29">
        <v>0</v>
      </c>
      <c r="F935" s="29">
        <v>0</v>
      </c>
      <c r="G935" s="29">
        <v>49.000258709287841</v>
      </c>
      <c r="H935" s="29">
        <v>0</v>
      </c>
      <c r="I935" s="29">
        <v>29.655742879632136</v>
      </c>
      <c r="J935" s="29">
        <v>0</v>
      </c>
      <c r="K935" s="29">
        <v>0</v>
      </c>
      <c r="L935" s="30">
        <v>0</v>
      </c>
      <c r="M935" s="30">
        <v>0</v>
      </c>
    </row>
    <row r="936" spans="2:13" x14ac:dyDescent="0.25">
      <c r="B936" s="27">
        <v>933</v>
      </c>
      <c r="C936" s="29">
        <v>13.63130761409445</v>
      </c>
      <c r="D936" s="29">
        <v>62.132174245257474</v>
      </c>
      <c r="E936" s="29">
        <v>0</v>
      </c>
      <c r="F936" s="29">
        <v>0</v>
      </c>
      <c r="G936" s="29">
        <v>0</v>
      </c>
      <c r="H936" s="29">
        <v>0</v>
      </c>
      <c r="I936" s="29">
        <v>0</v>
      </c>
      <c r="J936" s="29">
        <v>0</v>
      </c>
      <c r="K936" s="29">
        <v>24.758373197496347</v>
      </c>
      <c r="L936" s="30">
        <v>0</v>
      </c>
      <c r="M936" s="30">
        <v>0</v>
      </c>
    </row>
    <row r="937" spans="2:13" x14ac:dyDescent="0.25">
      <c r="B937" s="27">
        <v>934</v>
      </c>
      <c r="C937" s="29">
        <v>43.252144883744968</v>
      </c>
      <c r="D937" s="29">
        <v>58.202190702662946</v>
      </c>
      <c r="E937" s="29">
        <v>102.57399126370073</v>
      </c>
      <c r="F937" s="29">
        <v>0</v>
      </c>
      <c r="G937" s="29">
        <v>0</v>
      </c>
      <c r="H937" s="29">
        <v>20.260101057103043</v>
      </c>
      <c r="I937" s="29">
        <v>0</v>
      </c>
      <c r="J937" s="29">
        <v>0</v>
      </c>
      <c r="K937" s="29">
        <v>40.111179826474526</v>
      </c>
      <c r="L937" s="30">
        <v>0</v>
      </c>
      <c r="M937" s="30">
        <v>0</v>
      </c>
    </row>
    <row r="938" spans="2:13" x14ac:dyDescent="0.25">
      <c r="B938" s="27">
        <v>935</v>
      </c>
      <c r="C938" s="29">
        <v>54.545565627747735</v>
      </c>
      <c r="D938" s="29">
        <v>0</v>
      </c>
      <c r="E938" s="29">
        <v>83.595353265581565</v>
      </c>
      <c r="F938" s="29">
        <v>39.438930479396902</v>
      </c>
      <c r="G938" s="29">
        <v>0</v>
      </c>
      <c r="H938" s="29">
        <v>0</v>
      </c>
      <c r="I938" s="29">
        <v>39.514788415522816</v>
      </c>
      <c r="J938" s="29">
        <v>0</v>
      </c>
      <c r="K938" s="29">
        <v>25.558707306536206</v>
      </c>
      <c r="L938" s="30">
        <v>0</v>
      </c>
      <c r="M938" s="30">
        <v>0</v>
      </c>
    </row>
    <row r="939" spans="2:13" x14ac:dyDescent="0.25">
      <c r="B939" s="27">
        <v>936</v>
      </c>
      <c r="C939" s="29">
        <v>39.162329866549356</v>
      </c>
      <c r="D939" s="29">
        <v>75.930999433430031</v>
      </c>
      <c r="E939" s="29">
        <v>130.3182238046891</v>
      </c>
      <c r="F939" s="29">
        <v>66.26432760444925</v>
      </c>
      <c r="G939" s="29">
        <v>0</v>
      </c>
      <c r="H939" s="29">
        <v>0</v>
      </c>
      <c r="I939" s="29">
        <v>48.258372289142919</v>
      </c>
      <c r="J939" s="29">
        <v>0</v>
      </c>
      <c r="K939" s="29">
        <v>64.698707422325015</v>
      </c>
      <c r="L939" s="30">
        <v>0</v>
      </c>
      <c r="M939" s="30">
        <v>0</v>
      </c>
    </row>
    <row r="940" spans="2:13" x14ac:dyDescent="0.25">
      <c r="B940" s="27">
        <v>937</v>
      </c>
      <c r="C940" s="29">
        <v>59.906842703156165</v>
      </c>
      <c r="D940" s="29">
        <v>69.990531245269821</v>
      </c>
      <c r="E940" s="29">
        <v>124.82183477803568</v>
      </c>
      <c r="F940" s="29">
        <v>48.231529387788946</v>
      </c>
      <c r="G940" s="29">
        <v>0</v>
      </c>
      <c r="H940" s="29">
        <v>0</v>
      </c>
      <c r="I940" s="29">
        <v>0</v>
      </c>
      <c r="J940" s="29">
        <v>0</v>
      </c>
      <c r="K940" s="29">
        <v>42.428456246408111</v>
      </c>
      <c r="L940" s="30">
        <v>0</v>
      </c>
      <c r="M940" s="30">
        <v>0</v>
      </c>
    </row>
    <row r="941" spans="2:13" x14ac:dyDescent="0.25">
      <c r="B941" s="27">
        <v>938</v>
      </c>
      <c r="C941" s="29">
        <v>32.068086192071036</v>
      </c>
      <c r="D941" s="29">
        <v>57.217690155487112</v>
      </c>
      <c r="E941" s="29">
        <v>95.670679970230637</v>
      </c>
      <c r="F941" s="29">
        <v>67.703382245622095</v>
      </c>
      <c r="G941" s="29">
        <v>0</v>
      </c>
      <c r="H941" s="29">
        <v>0</v>
      </c>
      <c r="I941" s="29">
        <v>0</v>
      </c>
      <c r="J941" s="29">
        <v>0</v>
      </c>
      <c r="K941" s="29">
        <v>53.999977686574397</v>
      </c>
      <c r="L941" s="30">
        <v>38.74262598265679</v>
      </c>
      <c r="M941" s="30">
        <v>0</v>
      </c>
    </row>
    <row r="942" spans="2:13" x14ac:dyDescent="0.25">
      <c r="B942" s="27">
        <v>939</v>
      </c>
      <c r="C942" s="29">
        <v>49.730509406608697</v>
      </c>
      <c r="D942" s="29">
        <v>0</v>
      </c>
      <c r="E942" s="29">
        <v>0</v>
      </c>
      <c r="F942" s="29">
        <v>39.231181550909753</v>
      </c>
      <c r="G942" s="29">
        <v>0</v>
      </c>
      <c r="H942" s="29">
        <v>0</v>
      </c>
      <c r="I942" s="29">
        <v>0</v>
      </c>
      <c r="J942" s="29">
        <v>0</v>
      </c>
      <c r="K942" s="29">
        <v>35.743932175220621</v>
      </c>
      <c r="L942" s="30">
        <v>0</v>
      </c>
      <c r="M942" s="30">
        <v>0</v>
      </c>
    </row>
    <row r="943" spans="2:13" x14ac:dyDescent="0.25">
      <c r="B943" s="27">
        <v>940</v>
      </c>
      <c r="C943" s="29">
        <v>0</v>
      </c>
      <c r="D943" s="29">
        <v>73.497284115727084</v>
      </c>
      <c r="E943" s="29">
        <v>110.31467799045656</v>
      </c>
      <c r="F943" s="29">
        <v>21.600348936826947</v>
      </c>
      <c r="G943" s="29">
        <v>0</v>
      </c>
      <c r="H943" s="29">
        <v>47.259988029742154</v>
      </c>
      <c r="I943" s="29">
        <v>45.492162702541563</v>
      </c>
      <c r="J943" s="29">
        <v>49.243638826991884</v>
      </c>
      <c r="K943" s="29">
        <v>27.501897665178962</v>
      </c>
      <c r="L943" s="30">
        <v>0</v>
      </c>
      <c r="M943" s="30">
        <v>0</v>
      </c>
    </row>
    <row r="944" spans="2:13" x14ac:dyDescent="0.25">
      <c r="B944" s="27">
        <v>941</v>
      </c>
      <c r="C944" s="29">
        <v>59.953009059230908</v>
      </c>
      <c r="D944" s="29">
        <v>76.966057034460846</v>
      </c>
      <c r="E944" s="29">
        <v>0</v>
      </c>
      <c r="F944" s="29">
        <v>0</v>
      </c>
      <c r="G944" s="29">
        <v>49.041713082822085</v>
      </c>
      <c r="H944" s="29">
        <v>24.084307116961597</v>
      </c>
      <c r="I944" s="29">
        <v>57.43026832852771</v>
      </c>
      <c r="J944" s="29">
        <v>0</v>
      </c>
      <c r="K944" s="29">
        <v>57.254969120748342</v>
      </c>
      <c r="L944" s="30">
        <v>0</v>
      </c>
      <c r="M944" s="30">
        <v>0</v>
      </c>
    </row>
    <row r="945" spans="2:13" x14ac:dyDescent="0.25">
      <c r="B945" s="27">
        <v>942</v>
      </c>
      <c r="C945" s="29">
        <v>65.693279545060506</v>
      </c>
      <c r="D945" s="29">
        <v>74.867740743787863</v>
      </c>
      <c r="E945" s="29">
        <v>79.554550475923492</v>
      </c>
      <c r="F945" s="29">
        <v>33.101499940291937</v>
      </c>
      <c r="G945" s="29">
        <v>0</v>
      </c>
      <c r="H945" s="29">
        <v>61.614815304637254</v>
      </c>
      <c r="I945" s="29">
        <v>52.445534610803769</v>
      </c>
      <c r="J945" s="29">
        <v>0</v>
      </c>
      <c r="K945" s="29">
        <v>62.824596996070973</v>
      </c>
      <c r="L945" s="30">
        <v>0</v>
      </c>
      <c r="M945" s="30">
        <v>0</v>
      </c>
    </row>
    <row r="946" spans="2:13" x14ac:dyDescent="0.25">
      <c r="B946" s="27">
        <v>943</v>
      </c>
      <c r="C946" s="29">
        <v>56.875276192872953</v>
      </c>
      <c r="D946" s="29">
        <v>63.858578365060239</v>
      </c>
      <c r="E946" s="29">
        <v>0</v>
      </c>
      <c r="F946" s="29">
        <v>37.949005558501938</v>
      </c>
      <c r="G946" s="29">
        <v>0</v>
      </c>
      <c r="H946" s="29">
        <v>0</v>
      </c>
      <c r="I946" s="29">
        <v>0</v>
      </c>
      <c r="J946" s="29">
        <v>58.978043316349144</v>
      </c>
      <c r="K946" s="29">
        <v>0</v>
      </c>
      <c r="L946" s="30">
        <v>0</v>
      </c>
      <c r="M946" s="30">
        <v>0</v>
      </c>
    </row>
    <row r="947" spans="2:13" x14ac:dyDescent="0.25">
      <c r="B947" s="27">
        <v>944</v>
      </c>
      <c r="C947" s="29">
        <v>49.927460712184669</v>
      </c>
      <c r="D947" s="29">
        <v>73.561549802814227</v>
      </c>
      <c r="E947" s="29">
        <v>65.047591237083893</v>
      </c>
      <c r="F947" s="29">
        <v>27.394986752965533</v>
      </c>
      <c r="G947" s="29">
        <v>0</v>
      </c>
      <c r="H947" s="29">
        <v>58.956964269300165</v>
      </c>
      <c r="I947" s="29">
        <v>0</v>
      </c>
      <c r="J947" s="29">
        <v>0</v>
      </c>
      <c r="K947" s="29">
        <v>42.432111151542188</v>
      </c>
      <c r="L947" s="30">
        <v>35.209821488202692</v>
      </c>
      <c r="M947" s="30">
        <v>0</v>
      </c>
    </row>
    <row r="948" spans="2:13" x14ac:dyDescent="0.25">
      <c r="B948" s="27">
        <v>945</v>
      </c>
      <c r="C948" s="29">
        <v>46.019582190309336</v>
      </c>
      <c r="D948" s="29">
        <v>80.574835418495923</v>
      </c>
      <c r="E948" s="29">
        <v>81.041432273319742</v>
      </c>
      <c r="F948" s="29">
        <v>22.359771843478143</v>
      </c>
      <c r="G948" s="29">
        <v>0</v>
      </c>
      <c r="H948" s="29">
        <v>0</v>
      </c>
      <c r="I948" s="29">
        <v>0</v>
      </c>
      <c r="J948" s="29">
        <v>0</v>
      </c>
      <c r="K948" s="29">
        <v>0</v>
      </c>
      <c r="L948" s="30">
        <v>0</v>
      </c>
      <c r="M948" s="30">
        <v>0</v>
      </c>
    </row>
    <row r="949" spans="2:13" x14ac:dyDescent="0.25">
      <c r="B949" s="27">
        <v>946</v>
      </c>
      <c r="C949" s="29">
        <v>0</v>
      </c>
      <c r="D949" s="29">
        <v>0</v>
      </c>
      <c r="E949" s="29">
        <v>0</v>
      </c>
      <c r="F949" s="29">
        <v>37.010587201114397</v>
      </c>
      <c r="G949" s="29">
        <v>0</v>
      </c>
      <c r="H949" s="29">
        <v>0</v>
      </c>
      <c r="I949" s="29">
        <v>0</v>
      </c>
      <c r="J949" s="29">
        <v>0</v>
      </c>
      <c r="K949" s="29">
        <v>54.047895774656354</v>
      </c>
      <c r="L949" s="30">
        <v>0</v>
      </c>
      <c r="M949" s="30">
        <v>0</v>
      </c>
    </row>
    <row r="950" spans="2:13" x14ac:dyDescent="0.25">
      <c r="B950" s="27">
        <v>947</v>
      </c>
      <c r="C950" s="29">
        <v>18.407860096267996</v>
      </c>
      <c r="D950" s="29">
        <v>0</v>
      </c>
      <c r="E950" s="29">
        <v>0</v>
      </c>
      <c r="F950" s="29">
        <v>40.667002535003263</v>
      </c>
      <c r="G950" s="29">
        <v>0</v>
      </c>
      <c r="H950" s="29">
        <v>50.801003873503831</v>
      </c>
      <c r="I950" s="29">
        <v>0</v>
      </c>
      <c r="J950" s="29">
        <v>0</v>
      </c>
      <c r="K950" s="29">
        <v>32.769823696695539</v>
      </c>
      <c r="L950" s="30">
        <v>0</v>
      </c>
      <c r="M950" s="30">
        <v>0</v>
      </c>
    </row>
    <row r="951" spans="2:13" x14ac:dyDescent="0.25">
      <c r="B951" s="27">
        <v>948</v>
      </c>
      <c r="C951" s="29">
        <v>59.451646866196292</v>
      </c>
      <c r="D951" s="29">
        <v>66.51455005221365</v>
      </c>
      <c r="E951" s="29">
        <v>72.669844796000163</v>
      </c>
      <c r="F951" s="29">
        <v>39.235910095056681</v>
      </c>
      <c r="G951" s="29">
        <v>0</v>
      </c>
      <c r="H951" s="29">
        <v>0</v>
      </c>
      <c r="I951" s="29">
        <v>30.564943644044803</v>
      </c>
      <c r="J951" s="29">
        <v>0</v>
      </c>
      <c r="K951" s="29">
        <v>53.543113297503325</v>
      </c>
      <c r="L951" s="30">
        <v>0</v>
      </c>
      <c r="M951" s="30">
        <v>0</v>
      </c>
    </row>
    <row r="952" spans="2:13" x14ac:dyDescent="0.25">
      <c r="B952" s="27">
        <v>949</v>
      </c>
      <c r="C952" s="29">
        <v>44.71834279094692</v>
      </c>
      <c r="D952" s="29">
        <v>74.52394563706747</v>
      </c>
      <c r="E952" s="29">
        <v>124.33186271734661</v>
      </c>
      <c r="F952" s="29">
        <v>27.009128827378561</v>
      </c>
      <c r="G952" s="29">
        <v>0</v>
      </c>
      <c r="H952" s="29">
        <v>0</v>
      </c>
      <c r="I952" s="29">
        <v>47.714876119984062</v>
      </c>
      <c r="J952" s="29">
        <v>0</v>
      </c>
      <c r="K952" s="29">
        <v>0</v>
      </c>
      <c r="L952" s="30">
        <v>0</v>
      </c>
      <c r="M952" s="30">
        <v>0</v>
      </c>
    </row>
    <row r="953" spans="2:13" x14ac:dyDescent="0.25">
      <c r="B953" s="27">
        <v>950</v>
      </c>
      <c r="C953" s="29">
        <v>33.473333234960648</v>
      </c>
      <c r="D953" s="29">
        <v>0</v>
      </c>
      <c r="E953" s="29">
        <v>89.093662442523382</v>
      </c>
      <c r="F953" s="29">
        <v>56.622235597849937</v>
      </c>
      <c r="G953" s="29">
        <v>0</v>
      </c>
      <c r="H953" s="29">
        <v>0</v>
      </c>
      <c r="I953" s="29">
        <v>41.294313302879559</v>
      </c>
      <c r="J953" s="29">
        <v>40.467122839371797</v>
      </c>
      <c r="K953" s="29">
        <v>0</v>
      </c>
      <c r="L953" s="30">
        <v>0</v>
      </c>
      <c r="M953" s="30">
        <v>0</v>
      </c>
    </row>
    <row r="954" spans="2:13" x14ac:dyDescent="0.25">
      <c r="B954" s="27">
        <v>951</v>
      </c>
      <c r="C954" s="29">
        <v>55.35788594968993</v>
      </c>
      <c r="D954" s="29">
        <v>67.790091956931661</v>
      </c>
      <c r="E954" s="29">
        <v>79.931554975158178</v>
      </c>
      <c r="F954" s="29">
        <v>51.438067017002545</v>
      </c>
      <c r="G954" s="29">
        <v>0</v>
      </c>
      <c r="H954" s="29">
        <v>0</v>
      </c>
      <c r="I954" s="29">
        <v>0</v>
      </c>
      <c r="J954" s="29">
        <v>0</v>
      </c>
      <c r="K954" s="29">
        <v>45.698411258348642</v>
      </c>
      <c r="L954" s="30">
        <v>0</v>
      </c>
      <c r="M954" s="30">
        <v>0</v>
      </c>
    </row>
    <row r="955" spans="2:13" x14ac:dyDescent="0.25">
      <c r="B955" s="27">
        <v>952</v>
      </c>
      <c r="C955" s="29">
        <v>41.374696173294311</v>
      </c>
      <c r="D955" s="29">
        <v>90.376263113174659</v>
      </c>
      <c r="E955" s="29">
        <v>0</v>
      </c>
      <c r="F955" s="29">
        <v>0</v>
      </c>
      <c r="G955" s="29">
        <v>0</v>
      </c>
      <c r="H955" s="29">
        <v>0</v>
      </c>
      <c r="I955" s="29">
        <v>39.50759248262888</v>
      </c>
      <c r="J955" s="29">
        <v>0</v>
      </c>
      <c r="K955" s="29">
        <v>36.464410379777945</v>
      </c>
      <c r="L955" s="30">
        <v>0</v>
      </c>
      <c r="M955" s="30">
        <v>0</v>
      </c>
    </row>
    <row r="956" spans="2:13" x14ac:dyDescent="0.25">
      <c r="B956" s="27">
        <v>953</v>
      </c>
      <c r="C956" s="29">
        <v>37.766971234188333</v>
      </c>
      <c r="D956" s="29">
        <v>91.964633743223516</v>
      </c>
      <c r="E956" s="29">
        <v>0</v>
      </c>
      <c r="F956" s="29">
        <v>44.472877604314071</v>
      </c>
      <c r="G956" s="29">
        <v>0</v>
      </c>
      <c r="H956" s="29">
        <v>0</v>
      </c>
      <c r="I956" s="29">
        <v>38.112210938894833</v>
      </c>
      <c r="J956" s="29">
        <v>0</v>
      </c>
      <c r="K956" s="29">
        <v>44.189664321728529</v>
      </c>
      <c r="L956" s="30">
        <v>0</v>
      </c>
      <c r="M956" s="30">
        <v>0</v>
      </c>
    </row>
    <row r="957" spans="2:13" x14ac:dyDescent="0.25">
      <c r="B957" s="27">
        <v>954</v>
      </c>
      <c r="C957" s="29">
        <v>55.333983789779211</v>
      </c>
      <c r="D957" s="29">
        <v>0</v>
      </c>
      <c r="E957" s="29">
        <v>131.77733884131138</v>
      </c>
      <c r="F957" s="29">
        <v>17.032925368076562</v>
      </c>
      <c r="G957" s="29">
        <v>0</v>
      </c>
      <c r="H957" s="29">
        <v>0</v>
      </c>
      <c r="I957" s="29">
        <v>44.308056398857786</v>
      </c>
      <c r="J957" s="29">
        <v>0</v>
      </c>
      <c r="K957" s="29">
        <v>38.469952354528758</v>
      </c>
      <c r="L957" s="30">
        <v>48.446935610837102</v>
      </c>
      <c r="M957" s="30">
        <v>0</v>
      </c>
    </row>
    <row r="958" spans="2:13" x14ac:dyDescent="0.25">
      <c r="B958" s="27">
        <v>955</v>
      </c>
      <c r="C958" s="29">
        <v>61.884638083083651</v>
      </c>
      <c r="D958" s="29">
        <v>0</v>
      </c>
      <c r="E958" s="29">
        <v>127.02797170704859</v>
      </c>
      <c r="F958" s="29">
        <v>42.725717051895948</v>
      </c>
      <c r="G958" s="29">
        <v>0</v>
      </c>
      <c r="H958" s="29">
        <v>0</v>
      </c>
      <c r="I958" s="29">
        <v>0</v>
      </c>
      <c r="J958" s="29">
        <v>0</v>
      </c>
      <c r="K958" s="29">
        <v>49.760903762420511</v>
      </c>
      <c r="L958" s="30">
        <v>0</v>
      </c>
      <c r="M958" s="30">
        <v>0</v>
      </c>
    </row>
    <row r="959" spans="2:13" x14ac:dyDescent="0.25">
      <c r="B959" s="27">
        <v>956</v>
      </c>
      <c r="C959" s="29">
        <v>58.298445213259704</v>
      </c>
      <c r="D959" s="29">
        <v>69.007406185190092</v>
      </c>
      <c r="E959" s="29">
        <v>72.014566894936635</v>
      </c>
      <c r="F959" s="29">
        <v>55.82272513344725</v>
      </c>
      <c r="G959" s="29">
        <v>26.827397812203767</v>
      </c>
      <c r="H959" s="29">
        <v>0</v>
      </c>
      <c r="I959" s="29">
        <v>0</v>
      </c>
      <c r="J959" s="29">
        <v>32.592229233818799</v>
      </c>
      <c r="K959" s="29">
        <v>48.867069648623009</v>
      </c>
      <c r="L959" s="30">
        <v>0</v>
      </c>
      <c r="M959" s="30">
        <v>0</v>
      </c>
    </row>
    <row r="960" spans="2:13" x14ac:dyDescent="0.25">
      <c r="B960" s="27">
        <v>957</v>
      </c>
      <c r="C960" s="29">
        <v>47.611088839039041</v>
      </c>
      <c r="D960" s="29">
        <v>0</v>
      </c>
      <c r="E960" s="29">
        <v>91.909350954639464</v>
      </c>
      <c r="F960" s="29">
        <v>38.783039368329611</v>
      </c>
      <c r="G960" s="29">
        <v>0</v>
      </c>
      <c r="H960" s="29">
        <v>26.126685605009012</v>
      </c>
      <c r="I960" s="29">
        <v>0</v>
      </c>
      <c r="J960" s="29">
        <v>28.438850732450192</v>
      </c>
      <c r="K960" s="29">
        <v>54.693262870291711</v>
      </c>
      <c r="L960" s="30">
        <v>0</v>
      </c>
      <c r="M960" s="30">
        <v>0</v>
      </c>
    </row>
    <row r="961" spans="2:13" x14ac:dyDescent="0.25">
      <c r="B961" s="27">
        <v>958</v>
      </c>
      <c r="C961" s="29">
        <v>30.566485088997219</v>
      </c>
      <c r="D961" s="29">
        <v>0</v>
      </c>
      <c r="E961" s="29">
        <v>80.056487026873214</v>
      </c>
      <c r="F961" s="29">
        <v>28.979543720194822</v>
      </c>
      <c r="G961" s="29">
        <v>0</v>
      </c>
      <c r="H961" s="29">
        <v>0</v>
      </c>
      <c r="I961" s="29">
        <v>0</v>
      </c>
      <c r="J961" s="29">
        <v>31.747536262194583</v>
      </c>
      <c r="K961" s="29">
        <v>53.737631675827352</v>
      </c>
      <c r="L961" s="30">
        <v>52.470210636074739</v>
      </c>
      <c r="M961" s="30">
        <v>0</v>
      </c>
    </row>
    <row r="962" spans="2:13" x14ac:dyDescent="0.25">
      <c r="B962" s="27">
        <v>959</v>
      </c>
      <c r="C962" s="29">
        <v>54.05057529775857</v>
      </c>
      <c r="D962" s="29">
        <v>0</v>
      </c>
      <c r="E962" s="29">
        <v>0</v>
      </c>
      <c r="F962" s="29">
        <v>47.351883588275072</v>
      </c>
      <c r="G962" s="29">
        <v>0</v>
      </c>
      <c r="H962" s="29">
        <v>34.419068969442179</v>
      </c>
      <c r="I962" s="29">
        <v>55.933409577159097</v>
      </c>
      <c r="J962" s="29">
        <v>0</v>
      </c>
      <c r="K962" s="29">
        <v>50.817004747256263</v>
      </c>
      <c r="L962" s="30">
        <v>0</v>
      </c>
      <c r="M962" s="30">
        <v>0</v>
      </c>
    </row>
    <row r="963" spans="2:13" x14ac:dyDescent="0.25">
      <c r="B963" s="27">
        <v>960</v>
      </c>
      <c r="C963" s="29">
        <v>53.227806081200022</v>
      </c>
      <c r="D963" s="29">
        <v>65.082016896087325</v>
      </c>
      <c r="E963" s="29">
        <v>77.395506649258806</v>
      </c>
      <c r="F963" s="29">
        <v>56.447636847851832</v>
      </c>
      <c r="G963" s="29">
        <v>0</v>
      </c>
      <c r="H963" s="29">
        <v>0</v>
      </c>
      <c r="I963" s="29">
        <v>50.55415150542116</v>
      </c>
      <c r="J963" s="29">
        <v>0</v>
      </c>
      <c r="K963" s="29">
        <v>0</v>
      </c>
      <c r="L963" s="30">
        <v>0</v>
      </c>
      <c r="M963" s="30">
        <v>0</v>
      </c>
    </row>
    <row r="964" spans="2:13" x14ac:dyDescent="0.25">
      <c r="B964" s="27">
        <v>961</v>
      </c>
      <c r="C964" s="29">
        <v>23.022422428767584</v>
      </c>
      <c r="D964" s="29">
        <v>92.328533913302252</v>
      </c>
      <c r="E964" s="29">
        <v>88.827720961802612</v>
      </c>
      <c r="F964" s="29">
        <v>55.648267927280415</v>
      </c>
      <c r="G964" s="29">
        <v>0</v>
      </c>
      <c r="H964" s="29">
        <v>0</v>
      </c>
      <c r="I964" s="29">
        <v>0</v>
      </c>
      <c r="J964" s="29">
        <v>0</v>
      </c>
      <c r="K964" s="29">
        <v>24.914445660062537</v>
      </c>
      <c r="L964" s="30">
        <v>0</v>
      </c>
      <c r="M964" s="30">
        <v>0</v>
      </c>
    </row>
    <row r="965" spans="2:13" x14ac:dyDescent="0.25">
      <c r="B965" s="27">
        <v>962</v>
      </c>
      <c r="C965" s="29">
        <v>50.425090989531881</v>
      </c>
      <c r="D965" s="29">
        <v>82.875509429669506</v>
      </c>
      <c r="E965" s="29">
        <v>102.23410075937025</v>
      </c>
      <c r="F965" s="29">
        <v>32.866178770802918</v>
      </c>
      <c r="G965" s="29">
        <v>0</v>
      </c>
      <c r="H965" s="29">
        <v>0</v>
      </c>
      <c r="I965" s="29">
        <v>0</v>
      </c>
      <c r="J965" s="29">
        <v>0</v>
      </c>
      <c r="K965" s="29">
        <v>51.93729902933412</v>
      </c>
      <c r="L965" s="30">
        <v>49.528227558866874</v>
      </c>
      <c r="M965" s="30">
        <v>0</v>
      </c>
    </row>
    <row r="966" spans="2:13" x14ac:dyDescent="0.25">
      <c r="B966" s="27">
        <v>963</v>
      </c>
      <c r="C966" s="29">
        <v>0</v>
      </c>
      <c r="D966" s="29">
        <v>0</v>
      </c>
      <c r="E966" s="29">
        <v>65.741459244531569</v>
      </c>
      <c r="F966" s="29">
        <v>51.950393660952223</v>
      </c>
      <c r="G966" s="29">
        <v>0</v>
      </c>
      <c r="H966" s="29">
        <v>0</v>
      </c>
      <c r="I966" s="29">
        <v>0</v>
      </c>
      <c r="J966" s="29">
        <v>0</v>
      </c>
      <c r="K966" s="29">
        <v>53.421570631101872</v>
      </c>
      <c r="L966" s="30">
        <v>0</v>
      </c>
      <c r="M966" s="30">
        <v>0</v>
      </c>
    </row>
    <row r="967" spans="2:13" x14ac:dyDescent="0.25">
      <c r="B967" s="27">
        <v>964</v>
      </c>
      <c r="C967" s="29">
        <v>47.875428442516522</v>
      </c>
      <c r="D967" s="29">
        <v>69.951301571695353</v>
      </c>
      <c r="E967" s="29">
        <v>72.500036963323453</v>
      </c>
      <c r="F967" s="29">
        <v>47.602214419351661</v>
      </c>
      <c r="G967" s="29">
        <v>0</v>
      </c>
      <c r="H967" s="29">
        <v>0</v>
      </c>
      <c r="I967" s="29">
        <v>47.04435142511575</v>
      </c>
      <c r="J967" s="29">
        <v>0</v>
      </c>
      <c r="K967" s="29">
        <v>64.173012525754643</v>
      </c>
      <c r="L967" s="30">
        <v>0</v>
      </c>
      <c r="M967" s="30">
        <v>0</v>
      </c>
    </row>
    <row r="968" spans="2:13" x14ac:dyDescent="0.25">
      <c r="B968" s="27">
        <v>965</v>
      </c>
      <c r="C968" s="29">
        <v>40.976859921687492</v>
      </c>
      <c r="D968" s="29">
        <v>70.894790503528071</v>
      </c>
      <c r="E968" s="29">
        <v>103.332109621588</v>
      </c>
      <c r="F968" s="29">
        <v>49.810663568674954</v>
      </c>
      <c r="G968" s="29">
        <v>0</v>
      </c>
      <c r="H968" s="29">
        <v>49.438426615032874</v>
      </c>
      <c r="I968" s="29">
        <v>0</v>
      </c>
      <c r="J968" s="29">
        <v>0</v>
      </c>
      <c r="K968" s="29">
        <v>46.376889955371553</v>
      </c>
      <c r="L968" s="30">
        <v>0</v>
      </c>
      <c r="M968" s="30">
        <v>0</v>
      </c>
    </row>
    <row r="969" spans="2:13" x14ac:dyDescent="0.25">
      <c r="B969" s="27">
        <v>966</v>
      </c>
      <c r="C969" s="29">
        <v>19.478768502575814</v>
      </c>
      <c r="D969" s="29">
        <v>79.320834099803164</v>
      </c>
      <c r="E969" s="29">
        <v>0</v>
      </c>
      <c r="F969" s="29">
        <v>0</v>
      </c>
      <c r="G969" s="29">
        <v>0</v>
      </c>
      <c r="H969" s="29">
        <v>0</v>
      </c>
      <c r="I969" s="29">
        <v>35.96163721274192</v>
      </c>
      <c r="J969" s="29">
        <v>0</v>
      </c>
      <c r="K969" s="29">
        <v>45.660534300256934</v>
      </c>
      <c r="L969" s="30">
        <v>0</v>
      </c>
      <c r="M969" s="30">
        <v>0</v>
      </c>
    </row>
    <row r="970" spans="2:13" x14ac:dyDescent="0.25">
      <c r="B970" s="27">
        <v>967</v>
      </c>
      <c r="C970" s="29">
        <v>49.290470362748216</v>
      </c>
      <c r="D970" s="29">
        <v>80.187224479321344</v>
      </c>
      <c r="E970" s="29">
        <v>90.805196826256363</v>
      </c>
      <c r="F970" s="29">
        <v>58.933507203248254</v>
      </c>
      <c r="G970" s="29">
        <v>39.011586797437076</v>
      </c>
      <c r="H970" s="29">
        <v>0</v>
      </c>
      <c r="I970" s="29">
        <v>0</v>
      </c>
      <c r="J970" s="29">
        <v>0</v>
      </c>
      <c r="K970" s="29">
        <v>40.370565377039469</v>
      </c>
      <c r="L970" s="30">
        <v>0</v>
      </c>
      <c r="M970" s="30">
        <v>0</v>
      </c>
    </row>
    <row r="971" spans="2:13" x14ac:dyDescent="0.25">
      <c r="B971" s="27">
        <v>968</v>
      </c>
      <c r="C971" s="29">
        <v>38.975804632117601</v>
      </c>
      <c r="D971" s="29">
        <v>80.035700727130205</v>
      </c>
      <c r="E971" s="29">
        <v>0</v>
      </c>
      <c r="F971" s="29">
        <v>49.129706506494102</v>
      </c>
      <c r="G971" s="29">
        <v>0</v>
      </c>
      <c r="H971" s="29">
        <v>0</v>
      </c>
      <c r="I971" s="29">
        <v>0</v>
      </c>
      <c r="J971" s="29">
        <v>0</v>
      </c>
      <c r="K971" s="29">
        <v>35.95852625355802</v>
      </c>
      <c r="L971" s="30">
        <v>0</v>
      </c>
      <c r="M971" s="30">
        <v>0</v>
      </c>
    </row>
    <row r="972" spans="2:13" x14ac:dyDescent="0.25">
      <c r="B972" s="27">
        <v>969</v>
      </c>
      <c r="C972" s="29">
        <v>36.377357848208774</v>
      </c>
      <c r="D972" s="29">
        <v>84.828640138171451</v>
      </c>
      <c r="E972" s="29">
        <v>101.37776747652995</v>
      </c>
      <c r="F972" s="29">
        <v>42.922721919424276</v>
      </c>
      <c r="G972" s="29">
        <v>0</v>
      </c>
      <c r="H972" s="29">
        <v>0</v>
      </c>
      <c r="I972" s="29">
        <v>0</v>
      </c>
      <c r="J972" s="29">
        <v>0</v>
      </c>
      <c r="K972" s="29">
        <v>42.504653052080222</v>
      </c>
      <c r="L972" s="30">
        <v>0</v>
      </c>
      <c r="M972" s="30">
        <v>0</v>
      </c>
    </row>
    <row r="973" spans="2:13" x14ac:dyDescent="0.25">
      <c r="B973" s="27">
        <v>970</v>
      </c>
      <c r="C973" s="29">
        <v>47.823189933115344</v>
      </c>
      <c r="D973" s="29">
        <v>64.791944643588849</v>
      </c>
      <c r="E973" s="29">
        <v>103.37957335273651</v>
      </c>
      <c r="F973" s="29">
        <v>37.047831911055049</v>
      </c>
      <c r="G973" s="29">
        <v>46.014685438158388</v>
      </c>
      <c r="H973" s="29">
        <v>56.396629090797312</v>
      </c>
      <c r="I973" s="29">
        <v>0</v>
      </c>
      <c r="J973" s="29">
        <v>21.228986752749272</v>
      </c>
      <c r="K973" s="29">
        <v>24.175705531252458</v>
      </c>
      <c r="L973" s="30">
        <v>0</v>
      </c>
      <c r="M973" s="30">
        <v>0</v>
      </c>
    </row>
    <row r="974" spans="2:13" x14ac:dyDescent="0.25">
      <c r="B974" s="27">
        <v>971</v>
      </c>
      <c r="C974" s="29">
        <v>41.023099450891429</v>
      </c>
      <c r="D974" s="29">
        <v>88.533259911291054</v>
      </c>
      <c r="E974" s="29">
        <v>90.34029119263046</v>
      </c>
      <c r="F974" s="29">
        <v>39.530703181232894</v>
      </c>
      <c r="G974" s="29">
        <v>0</v>
      </c>
      <c r="H974" s="29">
        <v>0</v>
      </c>
      <c r="I974" s="29">
        <v>0</v>
      </c>
      <c r="J974" s="29">
        <v>0</v>
      </c>
      <c r="K974" s="29">
        <v>42.210196968104547</v>
      </c>
      <c r="L974" s="30">
        <v>0</v>
      </c>
      <c r="M974" s="30">
        <v>0</v>
      </c>
    </row>
    <row r="975" spans="2:13" x14ac:dyDescent="0.25">
      <c r="B975" s="27">
        <v>972</v>
      </c>
      <c r="C975" s="29">
        <v>56.029162372851253</v>
      </c>
      <c r="D975" s="29">
        <v>79.060939435209988</v>
      </c>
      <c r="E975" s="29">
        <v>0</v>
      </c>
      <c r="F975" s="29">
        <v>54.23971761088621</v>
      </c>
      <c r="G975" s="29">
        <v>0</v>
      </c>
      <c r="H975" s="29">
        <v>0</v>
      </c>
      <c r="I975" s="29">
        <v>0</v>
      </c>
      <c r="J975" s="29">
        <v>22.480714355205855</v>
      </c>
      <c r="K975" s="29">
        <v>0</v>
      </c>
      <c r="L975" s="30">
        <v>0</v>
      </c>
      <c r="M975" s="30">
        <v>0</v>
      </c>
    </row>
    <row r="976" spans="2:13" x14ac:dyDescent="0.25">
      <c r="B976" s="27">
        <v>973</v>
      </c>
      <c r="C976" s="29">
        <v>0</v>
      </c>
      <c r="D976" s="29">
        <v>57.476180118263116</v>
      </c>
      <c r="E976" s="29">
        <v>74.236759811300345</v>
      </c>
      <c r="F976" s="29">
        <v>36.201301915319412</v>
      </c>
      <c r="G976" s="29">
        <v>0</v>
      </c>
      <c r="H976" s="29">
        <v>0</v>
      </c>
      <c r="I976" s="29">
        <v>0</v>
      </c>
      <c r="J976" s="29">
        <v>0</v>
      </c>
      <c r="K976" s="29">
        <v>27.574471559061518</v>
      </c>
      <c r="L976" s="30">
        <v>0</v>
      </c>
      <c r="M976" s="30">
        <v>0</v>
      </c>
    </row>
    <row r="977" spans="2:13" x14ac:dyDescent="0.25">
      <c r="B977" s="27">
        <v>974</v>
      </c>
      <c r="C977" s="29">
        <v>22.927092362465245</v>
      </c>
      <c r="D977" s="29">
        <v>84.956997460530232</v>
      </c>
      <c r="E977" s="29">
        <v>0</v>
      </c>
      <c r="F977" s="29">
        <v>47.192124032338484</v>
      </c>
      <c r="G977" s="29">
        <v>0</v>
      </c>
      <c r="H977" s="29">
        <v>0</v>
      </c>
      <c r="I977" s="29">
        <v>27.388950023870606</v>
      </c>
      <c r="J977" s="29">
        <v>0</v>
      </c>
      <c r="K977" s="29">
        <v>0</v>
      </c>
      <c r="L977" s="30">
        <v>0</v>
      </c>
      <c r="M977" s="30">
        <v>0</v>
      </c>
    </row>
    <row r="978" spans="2:13" x14ac:dyDescent="0.25">
      <c r="B978" s="27">
        <v>975</v>
      </c>
      <c r="C978" s="29">
        <v>51.496248871827717</v>
      </c>
      <c r="D978" s="29">
        <v>76.151353190009388</v>
      </c>
      <c r="E978" s="29">
        <v>124.32546961166869</v>
      </c>
      <c r="F978" s="29">
        <v>52.172443677215448</v>
      </c>
      <c r="G978" s="29">
        <v>0</v>
      </c>
      <c r="H978" s="29">
        <v>0</v>
      </c>
      <c r="I978" s="29">
        <v>0</v>
      </c>
      <c r="J978" s="29">
        <v>61.882006995128002</v>
      </c>
      <c r="K978" s="29">
        <v>36.726505734942336</v>
      </c>
      <c r="L978" s="30">
        <v>0</v>
      </c>
      <c r="M978" s="30">
        <v>0</v>
      </c>
    </row>
    <row r="979" spans="2:13" x14ac:dyDescent="0.25">
      <c r="B979" s="27">
        <v>976</v>
      </c>
      <c r="C979" s="29">
        <v>45.384915646411812</v>
      </c>
      <c r="D979" s="29">
        <v>82.364056374797286</v>
      </c>
      <c r="E979" s="29">
        <v>85.196795039145854</v>
      </c>
      <c r="F979" s="29">
        <v>60.718434584449319</v>
      </c>
      <c r="G979" s="29">
        <v>26.234616793068422</v>
      </c>
      <c r="H979" s="29">
        <v>0</v>
      </c>
      <c r="I979" s="29">
        <v>0</v>
      </c>
      <c r="J979" s="29">
        <v>0</v>
      </c>
      <c r="K979" s="29">
        <v>28.915430009165963</v>
      </c>
      <c r="L979" s="30">
        <v>0</v>
      </c>
      <c r="M979" s="30">
        <v>0</v>
      </c>
    </row>
    <row r="980" spans="2:13" x14ac:dyDescent="0.25">
      <c r="B980" s="27">
        <v>977</v>
      </c>
      <c r="C980" s="29">
        <v>48.679047224664792</v>
      </c>
      <c r="D980" s="29">
        <v>63.207931882785445</v>
      </c>
      <c r="E980" s="29">
        <v>130.15685743760676</v>
      </c>
      <c r="F980" s="29">
        <v>37.770301742854173</v>
      </c>
      <c r="G980" s="29">
        <v>37.927375007309337</v>
      </c>
      <c r="H980" s="29">
        <v>0</v>
      </c>
      <c r="I980" s="29">
        <v>30.146948050530412</v>
      </c>
      <c r="J980" s="29">
        <v>0</v>
      </c>
      <c r="K980" s="29">
        <v>45.178098597209505</v>
      </c>
      <c r="L980" s="30">
        <v>0</v>
      </c>
      <c r="M980" s="30">
        <v>0</v>
      </c>
    </row>
    <row r="981" spans="2:13" x14ac:dyDescent="0.25">
      <c r="B981" s="27">
        <v>978</v>
      </c>
      <c r="C981" s="29">
        <v>29.699239882347545</v>
      </c>
      <c r="D981" s="29">
        <v>78.358975379094886</v>
      </c>
      <c r="E981" s="29">
        <v>120.55167866667354</v>
      </c>
      <c r="F981" s="29">
        <v>23.881639267073048</v>
      </c>
      <c r="G981" s="29">
        <v>0</v>
      </c>
      <c r="H981" s="29">
        <v>0</v>
      </c>
      <c r="I981" s="29">
        <v>0</v>
      </c>
      <c r="J981" s="29">
        <v>0</v>
      </c>
      <c r="K981" s="29">
        <v>27.959743179868703</v>
      </c>
      <c r="L981" s="30">
        <v>0</v>
      </c>
      <c r="M981" s="30">
        <v>0</v>
      </c>
    </row>
    <row r="982" spans="2:13" x14ac:dyDescent="0.25">
      <c r="B982" s="27">
        <v>979</v>
      </c>
      <c r="C982" s="29">
        <v>53.357230030362096</v>
      </c>
      <c r="D982" s="29">
        <v>71.239098977890308</v>
      </c>
      <c r="E982" s="29">
        <v>81.846110462959174</v>
      </c>
      <c r="F982" s="29">
        <v>26.833340084403648</v>
      </c>
      <c r="G982" s="29">
        <v>0</v>
      </c>
      <c r="H982" s="29">
        <v>0</v>
      </c>
      <c r="I982" s="29">
        <v>46.400899182572708</v>
      </c>
      <c r="J982" s="29">
        <v>0</v>
      </c>
      <c r="K982" s="29">
        <v>33.311198737872928</v>
      </c>
      <c r="L982" s="30">
        <v>0</v>
      </c>
      <c r="M982" s="30">
        <v>0</v>
      </c>
    </row>
    <row r="983" spans="2:13" x14ac:dyDescent="0.25">
      <c r="B983" s="27">
        <v>980</v>
      </c>
      <c r="C983" s="29">
        <v>26.679441037554337</v>
      </c>
      <c r="D983" s="29">
        <v>78.230751378686804</v>
      </c>
      <c r="E983" s="29">
        <v>73.452331629663064</v>
      </c>
      <c r="F983" s="29">
        <v>44.118245409100147</v>
      </c>
      <c r="G983" s="29">
        <v>0</v>
      </c>
      <c r="H983" s="29">
        <v>0</v>
      </c>
      <c r="I983" s="29">
        <v>0</v>
      </c>
      <c r="J983" s="29">
        <v>0</v>
      </c>
      <c r="K983" s="29">
        <v>0</v>
      </c>
      <c r="L983" s="30">
        <v>0</v>
      </c>
      <c r="M983" s="30">
        <v>0</v>
      </c>
    </row>
    <row r="984" spans="2:13" x14ac:dyDescent="0.25">
      <c r="B984" s="27">
        <v>981</v>
      </c>
      <c r="C984" s="29">
        <v>53.023215077108091</v>
      </c>
      <c r="D984" s="29">
        <v>69.964053974241637</v>
      </c>
      <c r="E984" s="29">
        <v>93.351258550471968</v>
      </c>
      <c r="F984" s="29">
        <v>51.512745522483456</v>
      </c>
      <c r="G984" s="29">
        <v>0</v>
      </c>
      <c r="H984" s="29">
        <v>0</v>
      </c>
      <c r="I984" s="29">
        <v>0</v>
      </c>
      <c r="J984" s="29">
        <v>0</v>
      </c>
      <c r="K984" s="29">
        <v>26.03327236912618</v>
      </c>
      <c r="L984" s="30">
        <v>0</v>
      </c>
      <c r="M984" s="30">
        <v>0</v>
      </c>
    </row>
    <row r="985" spans="2:13" x14ac:dyDescent="0.25">
      <c r="B985" s="27">
        <v>982</v>
      </c>
      <c r="C985" s="29">
        <v>42.700433807600675</v>
      </c>
      <c r="D985" s="29">
        <v>56.442364052306175</v>
      </c>
      <c r="E985" s="29">
        <v>116.36600278349331</v>
      </c>
      <c r="F985" s="29">
        <v>64.450927189636786</v>
      </c>
      <c r="G985" s="29">
        <v>0</v>
      </c>
      <c r="H985" s="29">
        <v>0</v>
      </c>
      <c r="I985" s="29">
        <v>0</v>
      </c>
      <c r="J985" s="29">
        <v>0</v>
      </c>
      <c r="K985" s="29">
        <v>0</v>
      </c>
      <c r="L985" s="30">
        <v>0</v>
      </c>
      <c r="M985" s="30">
        <v>0</v>
      </c>
    </row>
    <row r="986" spans="2:13" x14ac:dyDescent="0.25">
      <c r="B986" s="27">
        <v>983</v>
      </c>
      <c r="C986" s="29">
        <v>49.692406095189192</v>
      </c>
      <c r="D986" s="29">
        <v>80.891671641349475</v>
      </c>
      <c r="E986" s="29">
        <v>81.019882510222359</v>
      </c>
      <c r="F986" s="29">
        <v>42.060296407627128</v>
      </c>
      <c r="G986" s="29">
        <v>0</v>
      </c>
      <c r="H986" s="29">
        <v>34.36837743116287</v>
      </c>
      <c r="I986" s="29">
        <v>0</v>
      </c>
      <c r="J986" s="29">
        <v>0</v>
      </c>
      <c r="K986" s="29">
        <v>26.79601674717906</v>
      </c>
      <c r="L986" s="30">
        <v>0</v>
      </c>
      <c r="M986" s="30">
        <v>0</v>
      </c>
    </row>
    <row r="987" spans="2:13" x14ac:dyDescent="0.25">
      <c r="B987" s="27">
        <v>984</v>
      </c>
      <c r="C987" s="29">
        <v>32.54326767207877</v>
      </c>
      <c r="D987" s="29">
        <v>78.348938828895569</v>
      </c>
      <c r="E987" s="29">
        <v>127.30088666320538</v>
      </c>
      <c r="F987" s="29">
        <v>58.236119326123976</v>
      </c>
      <c r="G987" s="29">
        <v>0</v>
      </c>
      <c r="H987" s="29">
        <v>0</v>
      </c>
      <c r="I987" s="29">
        <v>39.066186579794902</v>
      </c>
      <c r="J987" s="29">
        <v>0</v>
      </c>
      <c r="K987" s="29">
        <v>15.906526392053173</v>
      </c>
      <c r="L987" s="30">
        <v>0</v>
      </c>
      <c r="M987" s="30">
        <v>0</v>
      </c>
    </row>
    <row r="988" spans="2:13" x14ac:dyDescent="0.25">
      <c r="B988" s="27">
        <v>985</v>
      </c>
      <c r="C988" s="29">
        <v>45.334969789333471</v>
      </c>
      <c r="D988" s="29">
        <v>71.309757124195784</v>
      </c>
      <c r="E988" s="29">
        <v>84.354387081769715</v>
      </c>
      <c r="F988" s="29">
        <v>48.088706254886553</v>
      </c>
      <c r="G988" s="29">
        <v>44.4093833159464</v>
      </c>
      <c r="H988" s="29">
        <v>0</v>
      </c>
      <c r="I988" s="29">
        <v>31.239253519705642</v>
      </c>
      <c r="J988" s="29">
        <v>0</v>
      </c>
      <c r="K988" s="29">
        <v>0</v>
      </c>
      <c r="L988" s="30">
        <v>0</v>
      </c>
      <c r="M988" s="30">
        <v>0</v>
      </c>
    </row>
    <row r="989" spans="2:13" x14ac:dyDescent="0.25">
      <c r="B989" s="27">
        <v>986</v>
      </c>
      <c r="C989" s="29">
        <v>43.788169578523529</v>
      </c>
      <c r="D989" s="29">
        <v>81.539857560311603</v>
      </c>
      <c r="E989" s="29">
        <v>0</v>
      </c>
      <c r="F989" s="29">
        <v>16.278560012288203</v>
      </c>
      <c r="G989" s="29">
        <v>0</v>
      </c>
      <c r="H989" s="29">
        <v>0</v>
      </c>
      <c r="I989" s="29">
        <v>0</v>
      </c>
      <c r="J989" s="29">
        <v>0</v>
      </c>
      <c r="K989" s="29">
        <v>30.845496904826653</v>
      </c>
      <c r="L989" s="30">
        <v>0</v>
      </c>
      <c r="M989" s="30">
        <v>0</v>
      </c>
    </row>
    <row r="990" spans="2:13" x14ac:dyDescent="0.25">
      <c r="B990" s="27">
        <v>987</v>
      </c>
      <c r="C990" s="29">
        <v>0</v>
      </c>
      <c r="D990" s="29">
        <v>80.300714410813768</v>
      </c>
      <c r="E990" s="29">
        <v>0</v>
      </c>
      <c r="F990" s="29">
        <v>0</v>
      </c>
      <c r="G990" s="29">
        <v>0</v>
      </c>
      <c r="H990" s="29">
        <v>54.622023413069435</v>
      </c>
      <c r="I990" s="29">
        <v>33.203369383159128</v>
      </c>
      <c r="J990" s="29">
        <v>0</v>
      </c>
      <c r="K990" s="29">
        <v>0</v>
      </c>
      <c r="L990" s="30">
        <v>0</v>
      </c>
      <c r="M990" s="30">
        <v>0</v>
      </c>
    </row>
    <row r="991" spans="2:13" x14ac:dyDescent="0.25">
      <c r="B991" s="27">
        <v>988</v>
      </c>
      <c r="C991" s="29">
        <v>44.443915638072518</v>
      </c>
      <c r="D991" s="29">
        <v>72.623992975191527</v>
      </c>
      <c r="E991" s="29">
        <v>114.14392353292158</v>
      </c>
      <c r="F991" s="29">
        <v>55.903592285750513</v>
      </c>
      <c r="G991" s="29">
        <v>0</v>
      </c>
      <c r="H991" s="29">
        <v>0</v>
      </c>
      <c r="I991" s="29">
        <v>0</v>
      </c>
      <c r="J991" s="29">
        <v>33.634801025892571</v>
      </c>
      <c r="K991" s="29">
        <v>58.925560529521675</v>
      </c>
      <c r="L991" s="30">
        <v>0</v>
      </c>
      <c r="M991" s="30">
        <v>0</v>
      </c>
    </row>
    <row r="992" spans="2:13" x14ac:dyDescent="0.25">
      <c r="B992" s="27">
        <v>989</v>
      </c>
      <c r="C992" s="29">
        <v>26.126392981067696</v>
      </c>
      <c r="D992" s="29">
        <v>63.919067846058425</v>
      </c>
      <c r="E992" s="29">
        <v>0</v>
      </c>
      <c r="F992" s="29">
        <v>55.284271519228845</v>
      </c>
      <c r="G992" s="29">
        <v>0</v>
      </c>
      <c r="H992" s="29">
        <v>0</v>
      </c>
      <c r="I992" s="29">
        <v>0</v>
      </c>
      <c r="J992" s="29">
        <v>0</v>
      </c>
      <c r="K992" s="29">
        <v>0</v>
      </c>
      <c r="L992" s="30">
        <v>0</v>
      </c>
      <c r="M992" s="30">
        <v>0</v>
      </c>
    </row>
    <row r="993" spans="2:13" x14ac:dyDescent="0.25">
      <c r="B993" s="27">
        <v>990</v>
      </c>
      <c r="C993" s="29">
        <v>64.468681369945799</v>
      </c>
      <c r="D993" s="29">
        <v>92.764442657925031</v>
      </c>
      <c r="E993" s="29">
        <v>0</v>
      </c>
      <c r="F993" s="29">
        <v>0</v>
      </c>
      <c r="G993" s="29">
        <v>0</v>
      </c>
      <c r="H993" s="29">
        <v>0</v>
      </c>
      <c r="I993" s="29">
        <v>0</v>
      </c>
      <c r="J993" s="29">
        <v>0</v>
      </c>
      <c r="K993" s="29">
        <v>61.030089913387179</v>
      </c>
      <c r="L993" s="30">
        <v>0</v>
      </c>
      <c r="M993" s="30">
        <v>0</v>
      </c>
    </row>
    <row r="994" spans="2:13" x14ac:dyDescent="0.25">
      <c r="B994" s="27">
        <v>991</v>
      </c>
      <c r="C994" s="29">
        <v>18.428087052269191</v>
      </c>
      <c r="D994" s="29">
        <v>92.075456019710103</v>
      </c>
      <c r="E994" s="29">
        <v>86.27607109075413</v>
      </c>
      <c r="F994" s="29">
        <v>28.596482866792329</v>
      </c>
      <c r="G994" s="29">
        <v>0</v>
      </c>
      <c r="H994" s="29">
        <v>50.461877370481915</v>
      </c>
      <c r="I994" s="29">
        <v>0</v>
      </c>
      <c r="J994" s="29">
        <v>0</v>
      </c>
      <c r="K994" s="29">
        <v>50.23473691198916</v>
      </c>
      <c r="L994" s="30">
        <v>0</v>
      </c>
      <c r="M994" s="30">
        <v>0</v>
      </c>
    </row>
    <row r="995" spans="2:13" x14ac:dyDescent="0.25">
      <c r="B995" s="27">
        <v>992</v>
      </c>
      <c r="C995" s="29">
        <v>41.226283734282276</v>
      </c>
      <c r="D995" s="29">
        <v>0</v>
      </c>
      <c r="E995" s="29">
        <v>0</v>
      </c>
      <c r="F995" s="29">
        <v>47.355768413773397</v>
      </c>
      <c r="G995" s="29">
        <v>63.733813450146151</v>
      </c>
      <c r="H995" s="29">
        <v>0</v>
      </c>
      <c r="I995" s="29">
        <v>33.805526728373231</v>
      </c>
      <c r="J995" s="29">
        <v>0</v>
      </c>
      <c r="K995" s="29">
        <v>21.460545279354434</v>
      </c>
      <c r="L995" s="30">
        <v>0</v>
      </c>
      <c r="M995" s="30">
        <v>0</v>
      </c>
    </row>
    <row r="996" spans="2:13" x14ac:dyDescent="0.25">
      <c r="B996" s="27">
        <v>993</v>
      </c>
      <c r="C996" s="29">
        <v>33.860067861901314</v>
      </c>
      <c r="D996" s="29">
        <v>0</v>
      </c>
      <c r="E996" s="29">
        <v>124.81942061822534</v>
      </c>
      <c r="F996" s="29">
        <v>40.62959286660444</v>
      </c>
      <c r="G996" s="29">
        <v>0</v>
      </c>
      <c r="H996" s="29">
        <v>24.87346293889405</v>
      </c>
      <c r="I996" s="29">
        <v>0</v>
      </c>
      <c r="J996" s="29">
        <v>23.544840035185494</v>
      </c>
      <c r="K996" s="29">
        <v>36.600088376839594</v>
      </c>
      <c r="L996" s="30">
        <v>0</v>
      </c>
      <c r="M996" s="30">
        <v>0</v>
      </c>
    </row>
    <row r="997" spans="2:13" x14ac:dyDescent="0.25">
      <c r="B997" s="27">
        <v>994</v>
      </c>
      <c r="C997" s="29">
        <v>49.649062478091601</v>
      </c>
      <c r="D997" s="29">
        <v>72.060581694212573</v>
      </c>
      <c r="E997" s="29">
        <v>112.64643359439981</v>
      </c>
      <c r="F997" s="29">
        <v>0</v>
      </c>
      <c r="G997" s="29">
        <v>0</v>
      </c>
      <c r="H997" s="29">
        <v>40.5223657845129</v>
      </c>
      <c r="I997" s="29">
        <v>0</v>
      </c>
      <c r="J997" s="29">
        <v>0</v>
      </c>
      <c r="K997" s="29">
        <v>48.442005572543607</v>
      </c>
      <c r="L997" s="30">
        <v>0</v>
      </c>
      <c r="M997" s="30">
        <v>0</v>
      </c>
    </row>
    <row r="998" spans="2:13" x14ac:dyDescent="0.25">
      <c r="B998" s="27">
        <v>995</v>
      </c>
      <c r="C998" s="29">
        <v>0</v>
      </c>
      <c r="D998" s="29">
        <v>66.381377027089371</v>
      </c>
      <c r="E998" s="29">
        <v>74.77460799754482</v>
      </c>
      <c r="F998" s="29">
        <v>46.243289088629894</v>
      </c>
      <c r="G998" s="29">
        <v>0</v>
      </c>
      <c r="H998" s="29">
        <v>0</v>
      </c>
      <c r="I998" s="29">
        <v>0</v>
      </c>
      <c r="J998" s="29">
        <v>64.077058156164526</v>
      </c>
      <c r="K998" s="29">
        <v>33.926357894609325</v>
      </c>
      <c r="L998" s="30">
        <v>0</v>
      </c>
      <c r="M998" s="30">
        <v>0</v>
      </c>
    </row>
    <row r="999" spans="2:13" x14ac:dyDescent="0.25">
      <c r="B999" s="27">
        <v>996</v>
      </c>
      <c r="C999" s="29">
        <v>53.821404863082421</v>
      </c>
      <c r="D999" s="29">
        <v>79.387300750043607</v>
      </c>
      <c r="E999" s="29">
        <v>84.900145125084507</v>
      </c>
      <c r="F999" s="29">
        <v>0</v>
      </c>
      <c r="G999" s="29">
        <v>0</v>
      </c>
      <c r="H999" s="29">
        <v>0</v>
      </c>
      <c r="I999" s="29">
        <v>38.184752942690871</v>
      </c>
      <c r="J999" s="29">
        <v>0</v>
      </c>
      <c r="K999" s="29">
        <v>40.365611508571156</v>
      </c>
      <c r="L999" s="30">
        <v>0</v>
      </c>
      <c r="M999" s="30">
        <v>0</v>
      </c>
    </row>
    <row r="1000" spans="2:13" x14ac:dyDescent="0.25">
      <c r="B1000" s="27">
        <v>997</v>
      </c>
      <c r="C1000" s="29">
        <v>52.896162975991388</v>
      </c>
      <c r="D1000" s="29">
        <v>51.247399893286612</v>
      </c>
      <c r="E1000" s="29">
        <v>117.20344859505946</v>
      </c>
      <c r="F1000" s="29">
        <v>40.016891706114578</v>
      </c>
      <c r="G1000" s="29">
        <v>0</v>
      </c>
      <c r="H1000" s="29">
        <v>54.226139754676446</v>
      </c>
      <c r="I1000" s="29">
        <v>0</v>
      </c>
      <c r="J1000" s="29">
        <v>0</v>
      </c>
      <c r="K1000" s="29">
        <v>35.632875465980959</v>
      </c>
      <c r="L1000" s="30">
        <v>0</v>
      </c>
      <c r="M1000" s="30">
        <v>0</v>
      </c>
    </row>
    <row r="1001" spans="2:13" x14ac:dyDescent="0.25">
      <c r="B1001" s="27">
        <v>998</v>
      </c>
      <c r="C1001" s="29">
        <v>56.495365569663953</v>
      </c>
      <c r="D1001" s="29">
        <v>72.997130656316216</v>
      </c>
      <c r="E1001" s="29">
        <v>0</v>
      </c>
      <c r="F1001" s="29">
        <v>0</v>
      </c>
      <c r="G1001" s="29">
        <v>0</v>
      </c>
      <c r="H1001" s="29">
        <v>0</v>
      </c>
      <c r="I1001" s="29">
        <v>0</v>
      </c>
      <c r="J1001" s="29">
        <v>0</v>
      </c>
      <c r="K1001" s="29">
        <v>27.545645067805385</v>
      </c>
      <c r="L1001" s="30">
        <v>0</v>
      </c>
      <c r="M1001" s="30">
        <v>0</v>
      </c>
    </row>
    <row r="1002" spans="2:13" x14ac:dyDescent="0.25">
      <c r="B1002" s="27">
        <v>999</v>
      </c>
      <c r="C1002" s="29">
        <v>0</v>
      </c>
      <c r="D1002" s="29">
        <v>73.538107878685764</v>
      </c>
      <c r="E1002" s="29">
        <v>129.47388929592233</v>
      </c>
      <c r="F1002" s="29">
        <v>35.992280043683607</v>
      </c>
      <c r="G1002" s="29">
        <v>0</v>
      </c>
      <c r="H1002" s="29">
        <v>0</v>
      </c>
      <c r="I1002" s="29">
        <v>0</v>
      </c>
      <c r="J1002" s="29">
        <v>0</v>
      </c>
      <c r="K1002" s="29">
        <v>30.123212032665766</v>
      </c>
      <c r="L1002" s="30">
        <v>0</v>
      </c>
      <c r="M1002" s="30">
        <v>0</v>
      </c>
    </row>
    <row r="1003" spans="2:13" x14ac:dyDescent="0.25">
      <c r="B1003" s="28">
        <v>1000</v>
      </c>
      <c r="C1003" s="31">
        <v>38.317542312245713</v>
      </c>
      <c r="D1003" s="31">
        <v>70.093426484644638</v>
      </c>
      <c r="E1003" s="31">
        <v>0</v>
      </c>
      <c r="F1003" s="31">
        <v>0</v>
      </c>
      <c r="G1003" s="31">
        <v>0</v>
      </c>
      <c r="H1003" s="31">
        <v>33.85579079968705</v>
      </c>
      <c r="I1003" s="31">
        <v>0</v>
      </c>
      <c r="J1003" s="31">
        <v>41.218505108542978</v>
      </c>
      <c r="K1003" s="31">
        <v>48.454954704206344</v>
      </c>
      <c r="L1003" s="32">
        <v>0</v>
      </c>
      <c r="M1003" s="32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L426"/>
  <sheetViews>
    <sheetView workbookViewId="0">
      <selection activeCell="D15" sqref="D15"/>
    </sheetView>
  </sheetViews>
  <sheetFormatPr defaultRowHeight="15" outlineLevelRow="1" x14ac:dyDescent="0.25"/>
  <cols>
    <col min="1" max="1" width="14.5703125" bestFit="1" customWidth="1"/>
  </cols>
  <sheetData>
    <row r="1" spans="1:12" x14ac:dyDescent="0.25">
      <c r="B1" t="s">
        <v>62</v>
      </c>
      <c r="C1" t="s">
        <v>61</v>
      </c>
      <c r="D1" t="s">
        <v>60</v>
      </c>
      <c r="E1" t="s">
        <v>59</v>
      </c>
      <c r="F1" t="s">
        <v>58</v>
      </c>
      <c r="G1" t="s">
        <v>57</v>
      </c>
      <c r="H1" t="s">
        <v>56</v>
      </c>
      <c r="I1" t="s">
        <v>55</v>
      </c>
      <c r="J1" t="s">
        <v>54</v>
      </c>
      <c r="K1" t="s">
        <v>53</v>
      </c>
      <c r="L1" t="s">
        <v>63</v>
      </c>
    </row>
    <row r="2" spans="1:12" x14ac:dyDescent="0.25">
      <c r="A2" t="s">
        <v>32</v>
      </c>
      <c r="B2">
        <f>ROUND( AVERAGE( Risk_1 ), $B$9 )</f>
        <v>39</v>
      </c>
      <c r="C2">
        <f>ROUND( AVERAGE( Risk_2 ), $C$9 )</f>
        <v>63</v>
      </c>
      <c r="D2">
        <f>ROUND( AVERAGE( Risk_3 ), $D$9 )</f>
        <v>68</v>
      </c>
      <c r="E2">
        <f>ROUND( AVERAGE( Risk_4 ), $E$9 )</f>
        <v>35</v>
      </c>
      <c r="F2">
        <f>ROUND( AVERAGE( Risk_5 ), $F$9 )</f>
        <v>5</v>
      </c>
      <c r="G2">
        <f>ROUND( AVERAGE( Risk_6 ), $G$9 )</f>
        <v>10</v>
      </c>
      <c r="H2">
        <f>ROUND( AVERAGE( Risk_7 ), $H$9 )</f>
        <v>18</v>
      </c>
      <c r="I2">
        <f>ROUND( AVERAGE( Risk_8 ), $I$9 )</f>
        <v>8</v>
      </c>
      <c r="J2">
        <f>ROUND( AVERAGE( Risk_9 ), $J$9 )</f>
        <v>36</v>
      </c>
      <c r="K2">
        <f>ROUND( AVERAGE( Risk_10 ), $K$9 )</f>
        <v>4</v>
      </c>
      <c r="L2">
        <f>ROUND( AVERAGE( Total ), $L$9 )</f>
        <v>0</v>
      </c>
    </row>
    <row r="3" spans="1:12" x14ac:dyDescent="0.25">
      <c r="A3" t="s">
        <v>33</v>
      </c>
      <c r="B3" t="str">
        <f>$B$1 &amp; " Avg " &amp; $B$2</f>
        <v>Risk_1 Avg 39</v>
      </c>
      <c r="C3" t="str">
        <f>$C$1 &amp; " Avg " &amp; $C$2</f>
        <v>Risk_2 Avg 63</v>
      </c>
      <c r="D3" t="str">
        <f>$D$1 &amp; " Avg " &amp; $D$2</f>
        <v>Risk_3 Avg 68</v>
      </c>
      <c r="E3" t="str">
        <f>$E$1 &amp; " Avg " &amp; $E$2</f>
        <v>Risk_4 Avg 35</v>
      </c>
      <c r="F3" t="str">
        <f>$F$1 &amp; " Avg " &amp; $F$2</f>
        <v>Risk_5 Avg 5</v>
      </c>
      <c r="G3" t="str">
        <f>$G$1 &amp; " Avg " &amp; $G$2</f>
        <v>Risk_6 Avg 10</v>
      </c>
      <c r="H3" t="str">
        <f>$H$1 &amp; " Avg " &amp; $H$2</f>
        <v>Risk_7 Avg 18</v>
      </c>
      <c r="I3" t="str">
        <f>$I$1 &amp; " Avg " &amp; $I$2</f>
        <v>Risk_8 Avg 8</v>
      </c>
      <c r="J3" t="str">
        <f>$J$1 &amp; " Avg " &amp; $J$2</f>
        <v>Risk_9 Avg 36</v>
      </c>
      <c r="K3" t="str">
        <f>$K$1 &amp; " Avg " &amp; $K$2</f>
        <v>Risk_10 Avg 4</v>
      </c>
      <c r="L3" t="str">
        <f>$L$1 &amp; " Avg " &amp; $L$2</f>
        <v>Total Avg 0</v>
      </c>
    </row>
    <row r="4" spans="1:12" x14ac:dyDescent="0.25">
      <c r="A4" t="s">
        <v>34</v>
      </c>
      <c r="B4" s="33" t="b">
        <v>0</v>
      </c>
      <c r="C4" s="33" t="b">
        <v>0</v>
      </c>
      <c r="D4" s="33" t="b">
        <v>0</v>
      </c>
      <c r="E4" s="33" t="b">
        <v>0</v>
      </c>
      <c r="F4" s="33" t="b">
        <v>0</v>
      </c>
      <c r="G4" s="33" t="b">
        <v>0</v>
      </c>
      <c r="H4" s="33" t="b">
        <v>0</v>
      </c>
      <c r="I4" s="33" t="b">
        <v>0</v>
      </c>
      <c r="J4" s="33" t="b">
        <v>0</v>
      </c>
      <c r="K4" s="33" t="b">
        <v>0</v>
      </c>
      <c r="L4" s="33" t="b">
        <v>0</v>
      </c>
    </row>
    <row r="5" spans="1:12" x14ac:dyDescent="0.25">
      <c r="A5" t="s">
        <v>35</v>
      </c>
      <c r="B5" s="33" t="b">
        <v>0</v>
      </c>
      <c r="C5" s="33" t="b">
        <v>0</v>
      </c>
      <c r="D5" s="33" t="b">
        <v>0</v>
      </c>
      <c r="E5" s="33" t="b">
        <v>0</v>
      </c>
      <c r="F5" s="33" t="b">
        <v>0</v>
      </c>
      <c r="G5" s="33" t="b">
        <v>0</v>
      </c>
      <c r="H5" s="33" t="b">
        <v>0</v>
      </c>
      <c r="I5" s="33" t="b">
        <v>0</v>
      </c>
      <c r="J5" s="33" t="b">
        <v>0</v>
      </c>
      <c r="K5" s="33" t="b">
        <v>0</v>
      </c>
      <c r="L5" s="33" t="b">
        <v>0</v>
      </c>
    </row>
    <row r="6" spans="1:12" x14ac:dyDescent="0.25">
      <c r="A6" t="s">
        <v>36</v>
      </c>
      <c r="B6" s="33">
        <f>IF( $B$4, MIN( INT( MAX( Risk_1 ) - MIN( Risk_1 ) + 1 ), 10 ), 10 )</f>
        <v>10</v>
      </c>
      <c r="C6" s="33">
        <f>IF( $C$4, MIN( INT( MAX( Risk_2 ) - MIN( Risk_2 ) + 1 ), 10 ), 10 )</f>
        <v>10</v>
      </c>
      <c r="D6" s="33">
        <f>IF( $D$4, MIN( INT( MAX( Risk_3 ) - MIN( Risk_3 ) + 1 ), 10 ), 10 )</f>
        <v>10</v>
      </c>
      <c r="E6" s="33">
        <f>IF( $E$4, MIN( INT( MAX( Risk_4 ) - MIN( Risk_4 ) + 1 ), 10 ), 10 )</f>
        <v>10</v>
      </c>
      <c r="F6" s="33">
        <f>IF( $F$4, MIN( INT( MAX( Risk_5 ) - MIN( Risk_5 ) + 1 ), 10 ), 10 )</f>
        <v>10</v>
      </c>
      <c r="G6" s="33">
        <f>IF( $G$4, MIN( INT( MAX( Risk_6 ) - MIN( Risk_6 ) + 1 ), 10 ), 10 )</f>
        <v>10</v>
      </c>
      <c r="H6" s="33">
        <f>IF( $H$4, MIN( INT( MAX( Risk_7 ) - MIN( Risk_7 ) + 1 ), 10 ), 10 )</f>
        <v>10</v>
      </c>
      <c r="I6" s="33">
        <f>IF( $I$4, MIN( INT( MAX( Risk_8 ) - MIN( Risk_8 ) + 1 ), 10 ), 10 )</f>
        <v>10</v>
      </c>
      <c r="J6" s="33">
        <f>IF( $J$4, MIN( INT( MAX( Risk_9 ) - MIN( Risk_9 ) + 1 ), 10 ), 10 )</f>
        <v>10</v>
      </c>
      <c r="K6" s="33">
        <f>IF( $K$4, MIN( INT( MAX( Risk_10 ) - MIN( Risk_10 ) + 1 ), 10 ), 10 )</f>
        <v>10</v>
      </c>
      <c r="L6" s="33">
        <f>IF( $L$4, MIN( INT( MAX( Total ) - MIN( Total ) + 1 ), 10 ), 10 )</f>
        <v>10</v>
      </c>
    </row>
    <row r="7" spans="1:12" x14ac:dyDescent="0.25">
      <c r="A7" t="s">
        <v>37</v>
      </c>
      <c r="B7" s="33">
        <v>10</v>
      </c>
      <c r="C7" s="33">
        <v>10</v>
      </c>
      <c r="D7" s="33">
        <v>10</v>
      </c>
      <c r="E7" s="33">
        <v>10</v>
      </c>
      <c r="F7" s="33">
        <v>10</v>
      </c>
      <c r="G7" s="33">
        <v>10</v>
      </c>
      <c r="H7" s="33">
        <v>10</v>
      </c>
      <c r="I7" s="33">
        <v>10</v>
      </c>
      <c r="J7" s="33">
        <v>10</v>
      </c>
      <c r="K7" s="33">
        <v>10</v>
      </c>
      <c r="L7" s="33">
        <v>10</v>
      </c>
    </row>
    <row r="8" spans="1:12" x14ac:dyDescent="0.25">
      <c r="A8" t="s">
        <v>38</v>
      </c>
      <c r="B8" s="33">
        <f>ROUNDUP(( MAX( Risk_1 ) - $B$13 ) / $B$6, $B$9 )</f>
        <v>7</v>
      </c>
      <c r="C8" s="33">
        <f>ROUNDUP(( MAX( Risk_2 ) - $C$13 ) / $C$6, $C$9 )</f>
        <v>10</v>
      </c>
      <c r="D8" s="33">
        <f>ROUNDUP(( MAX( Risk_3 ) - $D$13 ) / $D$6, $D$9 )</f>
        <v>15</v>
      </c>
      <c r="E8" s="33">
        <f>ROUNDUP(( MAX( Risk_4 ) - $E$13 ) / $E$6, $E$9 )</f>
        <v>7</v>
      </c>
      <c r="F8" s="33">
        <f>ROUNDUP(( MAX( Risk_5 ) - $F$13 ) / $F$6, $F$9 )</f>
        <v>7</v>
      </c>
      <c r="G8" s="33">
        <f>ROUNDUP(( MAX( Risk_6 ) - $G$13 ) / $G$6, $G$9 )</f>
        <v>7</v>
      </c>
      <c r="H8" s="33">
        <f>ROUNDUP(( MAX( Risk_7 ) - $H$13 ) / $H$6, $H$9 )</f>
        <v>7</v>
      </c>
      <c r="I8" s="33">
        <f>ROUNDUP(( MAX( Risk_8 ) - $I$13 ) / $I$6, $I$9 )</f>
        <v>7</v>
      </c>
      <c r="J8" s="33">
        <f>ROUNDUP(( MAX( Risk_9 ) - $J$13 ) / $J$6, $J$9 )</f>
        <v>7</v>
      </c>
      <c r="K8" s="33">
        <f>ROUNDUP(( MAX( Risk_10 ) - $K$13 ) / $K$6, $K$9 )</f>
        <v>7</v>
      </c>
      <c r="L8" s="33">
        <f>ROUNDUP(( MAX( Total ) - $L$13 ) / $L$6, $L$9 )</f>
        <v>0</v>
      </c>
    </row>
    <row r="9" spans="1:12" x14ac:dyDescent="0.25">
      <c r="A9" t="s">
        <v>39</v>
      </c>
      <c r="B9" s="33">
        <v>0</v>
      </c>
      <c r="C9" s="33">
        <v>0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</row>
    <row r="10" spans="1:12" x14ac:dyDescent="0.25">
      <c r="A10" t="s">
        <v>40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</row>
    <row r="11" spans="1:12" x14ac:dyDescent="0.25">
      <c r="A11" t="s">
        <v>41</v>
      </c>
      <c r="B11" s="33" t="b">
        <v>0</v>
      </c>
      <c r="C11" s="33" t="b">
        <v>0</v>
      </c>
      <c r="D11" s="33" t="b">
        <v>0</v>
      </c>
      <c r="E11" s="33" t="b">
        <v>0</v>
      </c>
      <c r="F11" s="33" t="b">
        <v>0</v>
      </c>
      <c r="G11" s="33" t="b">
        <v>0</v>
      </c>
      <c r="H11" s="33" t="b">
        <v>0</v>
      </c>
      <c r="I11" s="33" t="b">
        <v>0</v>
      </c>
      <c r="J11" s="33" t="b">
        <v>0</v>
      </c>
      <c r="K11" s="33" t="b">
        <v>0</v>
      </c>
      <c r="L11" s="33" t="b">
        <v>0</v>
      </c>
    </row>
    <row r="12" spans="1:12" x14ac:dyDescent="0.25">
      <c r="A12" t="s">
        <v>42</v>
      </c>
      <c r="B12" s="33" t="str">
        <f>IF( AND( $B$11, $B$10 &gt; 1 ), MID( TEXT( $B$10, "#,##0" ), IF( MOD( LEN( TEXT( $B$10, "0" )), 3 ) = 1, 3, 2), 100 ) &amp; "s", "Axis Title" )</f>
        <v>Axis Title</v>
      </c>
      <c r="C12" s="33" t="str">
        <f>IF( AND( $C$11, $C$10 &gt; 1 ), MID( TEXT( $C$10, "#,##0" ), IF( MOD( LEN( TEXT( $C$10, "0" )), 3 ) = 1, 3, 2), 100 ) &amp; "s", "Axis Title" )</f>
        <v>Axis Title</v>
      </c>
      <c r="D12" s="33" t="str">
        <f>IF( AND( $D$11, $D$10 &gt; 1 ), MID( TEXT( $D$10, "#,##0" ), IF( MOD( LEN( TEXT( $D$10, "0" )), 3 ) = 1, 3, 2), 100 ) &amp; "s", "Axis Title" )</f>
        <v>Axis Title</v>
      </c>
      <c r="E12" s="33" t="str">
        <f>IF( AND( $E$11, $E$10 &gt; 1 ), MID( TEXT( $E$10, "#,##0" ), IF( MOD( LEN( TEXT( $E$10, "0" )), 3 ) = 1, 3, 2), 100 ) &amp; "s", "Axis Title" )</f>
        <v>Axis Title</v>
      </c>
      <c r="F12" s="33" t="str">
        <f>IF( AND( $F$11, $F$10 &gt; 1 ), MID( TEXT( $F$10, "#,##0" ), IF( MOD( LEN( TEXT( $F$10, "0" )), 3 ) = 1, 3, 2), 100 ) &amp; "s", "Axis Title" )</f>
        <v>Axis Title</v>
      </c>
      <c r="G12" s="33" t="str">
        <f>IF( AND( $G$11, $G$10 &gt; 1 ), MID( TEXT( $G$10, "#,##0" ), IF( MOD( LEN( TEXT( $G$10, "0" )), 3 ) = 1, 3, 2), 100 ) &amp; "s", "Axis Title" )</f>
        <v>Axis Title</v>
      </c>
      <c r="H12" s="33" t="str">
        <f>IF( AND( $H$11, $H$10 &gt; 1 ), MID( TEXT( $H$10, "#,##0" ), IF( MOD( LEN( TEXT( $H$10, "0" )), 3 ) = 1, 3, 2), 100 ) &amp; "s", "Axis Title" )</f>
        <v>Axis Title</v>
      </c>
      <c r="I12" s="33" t="str">
        <f>IF( AND( $I$11, $I$10 &gt; 1 ), MID( TEXT( $I$10, "#,##0" ), IF( MOD( LEN( TEXT( $I$10, "0" )), 3 ) = 1, 3, 2), 100 ) &amp; "s", "Axis Title" )</f>
        <v>Axis Title</v>
      </c>
      <c r="J12" s="33" t="str">
        <f>IF( AND( $J$11, $J$10 &gt; 1 ), MID( TEXT( $J$10, "#,##0" ), IF( MOD( LEN( TEXT( $J$10, "0" )), 3 ) = 1, 3, 2), 100 ) &amp; "s", "Axis Title" )</f>
        <v>Axis Title</v>
      </c>
      <c r="K12" s="33" t="str">
        <f>IF( AND( $K$11, $K$10 &gt; 1 ), MID( TEXT( $K$10, "#,##0" ), IF( MOD( LEN( TEXT( $K$10, "0" )), 3 ) = 1, 3, 2), 100 ) &amp; "s", "Axis Title" )</f>
        <v>Axis Title</v>
      </c>
      <c r="L12" s="33" t="str">
        <f>IF( AND( $L$11, $L$10 &gt; 1 ), MID( TEXT( $L$10, "#,##0" ), IF( MOD( LEN( TEXT( $L$10, "0" )), 3 ) = 1, 3, 2), 100 ) &amp; "s", "Axis Title" )</f>
        <v>Axis Title</v>
      </c>
    </row>
    <row r="13" spans="1:12" x14ac:dyDescent="0.25">
      <c r="A13" t="s">
        <v>43</v>
      </c>
      <c r="B13" s="33">
        <f>ROUND( MIN( Risk_1 ), $B$9 - LOG( $B$10 )) - IF( $B$4, 1, 0 )</f>
        <v>0</v>
      </c>
      <c r="C13" s="33">
        <f>ROUND( MIN( Risk_2 ), $C$9 - LOG( $C$10 )) - IF( $C$4, 1, 0 )</f>
        <v>0</v>
      </c>
      <c r="D13" s="33">
        <f>ROUND( MIN( Risk_3 ), $D$9 - LOG( $D$10 )) - IF( $D$4, 1, 0 )</f>
        <v>0</v>
      </c>
      <c r="E13" s="33">
        <f>ROUND( MIN( Risk_4 ), $E$9 - LOG( $E$10 )) - IF( $E$4, 1, 0 )</f>
        <v>0</v>
      </c>
      <c r="F13" s="33">
        <f>ROUND( MIN( Risk_5 ), $F$9 - LOG( $F$10 )) - IF( $F$4, 1, 0 )</f>
        <v>0</v>
      </c>
      <c r="G13" s="33">
        <f>ROUND( MIN( Risk_6 ), $G$9 - LOG( $G$10 )) - IF( $G$4, 1, 0 )</f>
        <v>0</v>
      </c>
      <c r="H13" s="33">
        <f>ROUND( MIN( Risk_7 ), $H$9 - LOG( $H$10 )) - IF( $H$4, 1, 0 )</f>
        <v>0</v>
      </c>
      <c r="I13" s="33">
        <f>ROUND( MIN( Risk_8 ), $I$9 - LOG( $I$10 )) - IF( $I$4, 1, 0 )</f>
        <v>0</v>
      </c>
      <c r="J13" s="33">
        <f>ROUND( MIN( Risk_9 ), $J$9 - LOG( $J$10 )) - IF( $J$4, 1, 0 )</f>
        <v>0</v>
      </c>
      <c r="K13" s="33">
        <f>ROUND( MIN( Risk_10 ), $K$9 - LOG( $K$10 )) - IF( $K$4, 1, 0 )</f>
        <v>0</v>
      </c>
      <c r="L13" s="33">
        <f>ROUND( MIN( Total ), $L$9 - LOG( $L$10 )) - IF( $L$4, 1, 0 )</f>
        <v>0</v>
      </c>
    </row>
    <row r="14" spans="1:12" outlineLevel="1" x14ac:dyDescent="0.25">
      <c r="A14" s="19" t="s">
        <v>44</v>
      </c>
      <c r="B14" s="19">
        <f>ROUND( $B$13 + $B$8, $B$9 - LOG( $B$10 ))</f>
        <v>7</v>
      </c>
      <c r="C14" s="19">
        <f>ROUND( $C$13 + $C$8, $C$9 - LOG( $C$10 ))</f>
        <v>10</v>
      </c>
      <c r="D14" s="19">
        <f>ROUND( $D$13 + $D$8, $D$9 - LOG( $D$10 ))</f>
        <v>15</v>
      </c>
      <c r="E14" s="19">
        <f>ROUND( $E$13 + $E$8, $E$9 - LOG( $E$10 ))</f>
        <v>7</v>
      </c>
      <c r="F14" s="19">
        <f>ROUND( $F$13 + $F$8, $F$9 - LOG( $F$10 ))</f>
        <v>7</v>
      </c>
      <c r="G14" s="19">
        <f>ROUND( $G$13 + $G$8, $G$9 - LOG( $G$10 ))</f>
        <v>7</v>
      </c>
      <c r="H14" s="19">
        <f>ROUND( $H$13 + $H$8, $H$9 - LOG( $H$10 ))</f>
        <v>7</v>
      </c>
      <c r="I14" s="19">
        <f>ROUND( $I$13 + $I$8, $I$9 - LOG( $I$10 ))</f>
        <v>7</v>
      </c>
      <c r="J14" s="19">
        <f>ROUND( $J$13 + $J$8, $J$9 - LOG( $J$10 ))</f>
        <v>7</v>
      </c>
      <c r="K14" s="19">
        <f>ROUND( $K$13 + $K$8, $K$9 - LOG( $K$10 ))</f>
        <v>7</v>
      </c>
      <c r="L14" s="19">
        <f>ROUND( $L$13 + $L$8, $L$9 - LOG( $L$10 ))</f>
        <v>0</v>
      </c>
    </row>
    <row r="15" spans="1:12" outlineLevel="1" x14ac:dyDescent="0.25">
      <c r="A15" s="20" t="s">
        <v>45</v>
      </c>
      <c r="B15" s="19">
        <f>ROUND( $B$14 + $B$8, $B$9 - LOG( $B$10 ))</f>
        <v>14</v>
      </c>
      <c r="C15" s="19">
        <f>ROUND( $C$14 + $C$8, $C$9 - LOG( $C$10 ))</f>
        <v>20</v>
      </c>
      <c r="D15" s="19">
        <f>ROUND( $D$14 + $D$8, $D$9 - LOG( $D$10 ))</f>
        <v>30</v>
      </c>
      <c r="E15" s="19">
        <f>ROUND( $E$14 + $E$8, $E$9 - LOG( $E$10 ))</f>
        <v>14</v>
      </c>
      <c r="F15" s="19">
        <f>ROUND( $F$14 + $F$8, $F$9 - LOG( $F$10 ))</f>
        <v>14</v>
      </c>
      <c r="G15" s="19">
        <f>ROUND( $G$14 + $G$8, $G$9 - LOG( $G$10 ))</f>
        <v>14</v>
      </c>
      <c r="H15" s="19">
        <f>ROUND( $H$14 + $H$8, $H$9 - LOG( $H$10 ))</f>
        <v>14</v>
      </c>
      <c r="I15" s="19">
        <f>ROUND( $I$14 + $I$8, $I$9 - LOG( $I$10 ))</f>
        <v>14</v>
      </c>
      <c r="J15" s="19">
        <f>ROUND( $J$14 + $J$8, $J$9 - LOG( $J$10 ))</f>
        <v>14</v>
      </c>
      <c r="K15" s="19">
        <f>ROUND( $K$14 + $K$8, $K$9 - LOG( $K$10 ))</f>
        <v>14</v>
      </c>
      <c r="L15" s="19">
        <f>ROUND( $L$14 + $L$8, $L$9 - LOG( $L$10 ))</f>
        <v>0</v>
      </c>
    </row>
    <row r="16" spans="1:12" outlineLevel="1" x14ac:dyDescent="0.25">
      <c r="A16" s="21" t="s">
        <v>46</v>
      </c>
      <c r="B16" s="19">
        <f>ROUND( $B$15 + $B$8, $B$9 - LOG( $B$10 ))</f>
        <v>21</v>
      </c>
      <c r="C16" s="19">
        <f>ROUND( $C$15 + $C$8, $C$9 - LOG( $C$10 ))</f>
        <v>30</v>
      </c>
      <c r="D16" s="19">
        <f>ROUND( $D$15 + $D$8, $D$9 - LOG( $D$10 ))</f>
        <v>45</v>
      </c>
      <c r="E16" s="19">
        <f>ROUND( $E$15 + $E$8, $E$9 - LOG( $E$10 ))</f>
        <v>21</v>
      </c>
      <c r="F16" s="19">
        <f>ROUND( $F$15 + $F$8, $F$9 - LOG( $F$10 ))</f>
        <v>21</v>
      </c>
      <c r="G16" s="19">
        <f>ROUND( $G$15 + $G$8, $G$9 - LOG( $G$10 ))</f>
        <v>21</v>
      </c>
      <c r="H16" s="19">
        <f>ROUND( $H$15 + $H$8, $H$9 - LOG( $H$10 ))</f>
        <v>21</v>
      </c>
      <c r="I16" s="19">
        <f>ROUND( $I$15 + $I$8, $I$9 - LOG( $I$10 ))</f>
        <v>21</v>
      </c>
      <c r="J16" s="19">
        <f>ROUND( $J$15 + $J$8, $J$9 - LOG( $J$10 ))</f>
        <v>21</v>
      </c>
      <c r="K16" s="19">
        <f>ROUND( $K$15 + $K$8, $K$9 - LOG( $K$10 ))</f>
        <v>21</v>
      </c>
      <c r="L16" s="19">
        <f>ROUND( $L$15 + $L$8, $L$9 - LOG( $L$10 ))</f>
        <v>0</v>
      </c>
    </row>
    <row r="17" spans="1:12" outlineLevel="1" x14ac:dyDescent="0.25">
      <c r="A17" s="22" t="s">
        <v>47</v>
      </c>
      <c r="B17" s="19">
        <f>ROUND( $B$16 + $B$8, $B$9 - LOG( $B$10 ))</f>
        <v>28</v>
      </c>
      <c r="C17" s="19">
        <f>ROUND( $C$16 + $C$8, $C$9 - LOG( $C$10 ))</f>
        <v>40</v>
      </c>
      <c r="D17" s="19">
        <f>ROUND( $D$16 + $D$8, $D$9 - LOG( $D$10 ))</f>
        <v>60</v>
      </c>
      <c r="E17" s="19">
        <f>ROUND( $E$16 + $E$8, $E$9 - LOG( $E$10 ))</f>
        <v>28</v>
      </c>
      <c r="F17" s="19">
        <f>ROUND( $F$16 + $F$8, $F$9 - LOG( $F$10 ))</f>
        <v>28</v>
      </c>
      <c r="G17" s="19">
        <f>ROUND( $G$16 + $G$8, $G$9 - LOG( $G$10 ))</f>
        <v>28</v>
      </c>
      <c r="H17" s="19">
        <f>ROUND( $H$16 + $H$8, $H$9 - LOG( $H$10 ))</f>
        <v>28</v>
      </c>
      <c r="I17" s="19">
        <f>ROUND( $I$16 + $I$8, $I$9 - LOG( $I$10 ))</f>
        <v>28</v>
      </c>
      <c r="J17" s="19">
        <f>ROUND( $J$16 + $J$8, $J$9 - LOG( $J$10 ))</f>
        <v>28</v>
      </c>
      <c r="K17" s="19">
        <f>ROUND( $K$16 + $K$8, $K$9 - LOG( $K$10 ))</f>
        <v>28</v>
      </c>
      <c r="L17" s="19">
        <f>ROUND( $L$16 + $L$8, $L$9 - LOG( $L$10 ))</f>
        <v>0</v>
      </c>
    </row>
    <row r="18" spans="1:12" outlineLevel="1" x14ac:dyDescent="0.25">
      <c r="B18" s="19">
        <f>ROUND( $B$17 + $B$8, $B$9 - LOG( $B$10 ))</f>
        <v>35</v>
      </c>
      <c r="C18" s="19">
        <f>ROUND( $C$17 + $C$8, $C$9 - LOG( $C$10 ))</f>
        <v>50</v>
      </c>
      <c r="D18" s="19">
        <f>ROUND( $D$17 + $D$8, $D$9 - LOG( $D$10 ))</f>
        <v>75</v>
      </c>
      <c r="E18" s="19">
        <f>ROUND( $E$17 + $E$8, $E$9 - LOG( $E$10 ))</f>
        <v>35</v>
      </c>
      <c r="F18" s="19">
        <f>ROUND( $F$17 + $F$8, $F$9 - LOG( $F$10 ))</f>
        <v>35</v>
      </c>
      <c r="G18" s="19">
        <f>ROUND( $G$17 + $G$8, $G$9 - LOG( $G$10 ))</f>
        <v>35</v>
      </c>
      <c r="H18" s="19">
        <f>ROUND( $H$17 + $H$8, $H$9 - LOG( $H$10 ))</f>
        <v>35</v>
      </c>
      <c r="I18" s="19">
        <f>ROUND( $I$17 + $I$8, $I$9 - LOG( $I$10 ))</f>
        <v>35</v>
      </c>
      <c r="J18" s="19">
        <f>ROUND( $J$17 + $J$8, $J$9 - LOG( $J$10 ))</f>
        <v>35</v>
      </c>
      <c r="K18" s="19">
        <f>ROUND( $K$17 + $K$8, $K$9 - LOG( $K$10 ))</f>
        <v>35</v>
      </c>
      <c r="L18" s="19">
        <f>ROUND( $L$17 + $L$8, $L$9 - LOG( $L$10 ))</f>
        <v>0</v>
      </c>
    </row>
    <row r="19" spans="1:12" outlineLevel="1" x14ac:dyDescent="0.25">
      <c r="B19" s="19">
        <f>ROUND( $B$18 + $B$8, $B$9 - LOG( $B$10 ))</f>
        <v>42</v>
      </c>
      <c r="C19" s="19">
        <f>ROUND( $C$18 + $C$8, $C$9 - LOG( $C$10 ))</f>
        <v>60</v>
      </c>
      <c r="D19" s="19">
        <f>ROUND( $D$18 + $D$8, $D$9 - LOG( $D$10 ))</f>
        <v>90</v>
      </c>
      <c r="E19" s="19">
        <f>ROUND( $E$18 + $E$8, $E$9 - LOG( $E$10 ))</f>
        <v>42</v>
      </c>
      <c r="F19" s="19">
        <f>ROUND( $F$18 + $F$8, $F$9 - LOG( $F$10 ))</f>
        <v>42</v>
      </c>
      <c r="G19" s="19">
        <f>ROUND( $G$18 + $G$8, $G$9 - LOG( $G$10 ))</f>
        <v>42</v>
      </c>
      <c r="H19" s="19">
        <f>ROUND( $H$18 + $H$8, $H$9 - LOG( $H$10 ))</f>
        <v>42</v>
      </c>
      <c r="I19" s="19">
        <f>ROUND( $I$18 + $I$8, $I$9 - LOG( $I$10 ))</f>
        <v>42</v>
      </c>
      <c r="J19" s="19">
        <f>ROUND( $J$18 + $J$8, $J$9 - LOG( $J$10 ))</f>
        <v>42</v>
      </c>
      <c r="K19" s="19">
        <f>ROUND( $K$18 + $K$8, $K$9 - LOG( $K$10 ))</f>
        <v>42</v>
      </c>
      <c r="L19" s="19">
        <f>ROUND( $L$18 + $L$8, $L$9 - LOG( $L$10 ))</f>
        <v>0</v>
      </c>
    </row>
    <row r="20" spans="1:12" outlineLevel="1" x14ac:dyDescent="0.25">
      <c r="B20" s="19">
        <f>ROUND( $B$19 + $B$8, $B$9 - LOG( $B$10 ))</f>
        <v>49</v>
      </c>
      <c r="C20" s="19">
        <f>ROUND( $C$19 + $C$8, $C$9 - LOG( $C$10 ))</f>
        <v>70</v>
      </c>
      <c r="D20" s="19">
        <f>ROUND( $D$19 + $D$8, $D$9 - LOG( $D$10 ))</f>
        <v>105</v>
      </c>
      <c r="E20" s="19">
        <f>ROUND( $E$19 + $E$8, $E$9 - LOG( $E$10 ))</f>
        <v>49</v>
      </c>
      <c r="F20" s="19">
        <f>ROUND( $F$19 + $F$8, $F$9 - LOG( $F$10 ))</f>
        <v>49</v>
      </c>
      <c r="G20" s="19">
        <f>ROUND( $G$19 + $G$8, $G$9 - LOG( $G$10 ))</f>
        <v>49</v>
      </c>
      <c r="H20" s="19">
        <f>ROUND( $H$19 + $H$8, $H$9 - LOG( $H$10 ))</f>
        <v>49</v>
      </c>
      <c r="I20" s="19">
        <f>ROUND( $I$19 + $I$8, $I$9 - LOG( $I$10 ))</f>
        <v>49</v>
      </c>
      <c r="J20" s="19">
        <f>ROUND( $J$19 + $J$8, $J$9 - LOG( $J$10 ))</f>
        <v>49</v>
      </c>
      <c r="K20" s="19">
        <f>ROUND( $K$19 + $K$8, $K$9 - LOG( $K$10 ))</f>
        <v>49</v>
      </c>
      <c r="L20" s="19">
        <f>ROUND( $L$19 + $L$8, $L$9 - LOG( $L$10 ))</f>
        <v>0</v>
      </c>
    </row>
    <row r="21" spans="1:12" outlineLevel="1" x14ac:dyDescent="0.25">
      <c r="B21" s="19">
        <f>ROUND( $B$20 + $B$8, $B$9 - LOG( $B$10 ))</f>
        <v>56</v>
      </c>
      <c r="C21" s="19">
        <f>ROUND( $C$20 + $C$8, $C$9 - LOG( $C$10 ))</f>
        <v>80</v>
      </c>
      <c r="D21" s="19">
        <f>ROUND( $D$20 + $D$8, $D$9 - LOG( $D$10 ))</f>
        <v>120</v>
      </c>
      <c r="E21" s="19">
        <f>ROUND( $E$20 + $E$8, $E$9 - LOG( $E$10 ))</f>
        <v>56</v>
      </c>
      <c r="F21" s="19">
        <f>ROUND( $F$20 + $F$8, $F$9 - LOG( $F$10 ))</f>
        <v>56</v>
      </c>
      <c r="G21" s="19">
        <f>ROUND( $G$20 + $G$8, $G$9 - LOG( $G$10 ))</f>
        <v>56</v>
      </c>
      <c r="H21" s="19">
        <f>ROUND( $H$20 + $H$8, $H$9 - LOG( $H$10 ))</f>
        <v>56</v>
      </c>
      <c r="I21" s="19">
        <f>ROUND( $I$20 + $I$8, $I$9 - LOG( $I$10 ))</f>
        <v>56</v>
      </c>
      <c r="J21" s="19">
        <f>ROUND( $J$20 + $J$8, $J$9 - LOG( $J$10 ))</f>
        <v>56</v>
      </c>
      <c r="K21" s="19">
        <f>ROUND( $K$20 + $K$8, $K$9 - LOG( $K$10 ))</f>
        <v>56</v>
      </c>
      <c r="L21" s="19">
        <f>ROUND( $L$20 + $L$8, $L$9 - LOG( $L$10 ))</f>
        <v>0</v>
      </c>
    </row>
    <row r="22" spans="1:12" outlineLevel="1" x14ac:dyDescent="0.25">
      <c r="B22" s="19">
        <f>ROUND( $B$21 + $B$8, $B$9 - LOG( $B$10 ))</f>
        <v>63</v>
      </c>
      <c r="C22" s="19">
        <f>ROUND( $C$21 + $C$8, $C$9 - LOG( $C$10 ))</f>
        <v>90</v>
      </c>
      <c r="D22" s="19">
        <f>ROUND( $D$21 + $D$8, $D$9 - LOG( $D$10 ))</f>
        <v>135</v>
      </c>
      <c r="E22" s="19">
        <f>ROUND( $E$21 + $E$8, $E$9 - LOG( $E$10 ))</f>
        <v>63</v>
      </c>
      <c r="F22" s="19">
        <f>ROUND( $F$21 + $F$8, $F$9 - LOG( $F$10 ))</f>
        <v>63</v>
      </c>
      <c r="G22" s="19">
        <f>ROUND( $G$21 + $G$8, $G$9 - LOG( $G$10 ))</f>
        <v>63</v>
      </c>
      <c r="H22" s="19">
        <f>ROUND( $H$21 + $H$8, $H$9 - LOG( $H$10 ))</f>
        <v>63</v>
      </c>
      <c r="I22" s="19">
        <f>ROUND( $I$21 + $I$8, $I$9 - LOG( $I$10 ))</f>
        <v>63</v>
      </c>
      <c r="J22" s="19">
        <f>ROUND( $J$21 + $J$8, $J$9 - LOG( $J$10 ))</f>
        <v>63</v>
      </c>
      <c r="K22" s="19">
        <f>ROUND( $K$21 + $K$8, $K$9 - LOG( $K$10 ))</f>
        <v>63</v>
      </c>
      <c r="L22" s="19">
        <f>ROUND( $L$21 + $L$8, $L$9 - LOG( $L$10 ))</f>
        <v>0</v>
      </c>
    </row>
    <row r="23" spans="1:12" outlineLevel="1" x14ac:dyDescent="0.25">
      <c r="B23" s="19">
        <f>ROUND( $B$22 + $B$8, $B$9 - LOG( $B$10 ))</f>
        <v>70</v>
      </c>
      <c r="C23" s="19">
        <f>ROUND( $C$22 + $C$8, $C$9 - LOG( $C$10 ))</f>
        <v>100</v>
      </c>
      <c r="D23" s="19">
        <f>ROUND( $D$22 + $D$8, $D$9 - LOG( $D$10 ))</f>
        <v>150</v>
      </c>
      <c r="E23" s="19">
        <f>ROUND( $E$22 + $E$8, $E$9 - LOG( $E$10 ))</f>
        <v>70</v>
      </c>
      <c r="F23" s="19">
        <f>ROUND( $F$22 + $F$8, $F$9 - LOG( $F$10 ))</f>
        <v>70</v>
      </c>
      <c r="G23" s="19">
        <f>ROUND( $G$22 + $G$8, $G$9 - LOG( $G$10 ))</f>
        <v>70</v>
      </c>
      <c r="H23" s="19">
        <f>ROUND( $H$22 + $H$8, $H$9 - LOG( $H$10 ))</f>
        <v>70</v>
      </c>
      <c r="I23" s="19">
        <f>ROUND( $I$22 + $I$8, $I$9 - LOG( $I$10 ))</f>
        <v>70</v>
      </c>
      <c r="J23" s="19">
        <f>ROUND( $J$22 + $J$8, $J$9 - LOG( $J$10 ))</f>
        <v>70</v>
      </c>
      <c r="K23" s="19">
        <f>ROUND( $K$22 + $K$8, $K$9 - LOG( $K$10 ))</f>
        <v>70</v>
      </c>
      <c r="L23" s="19">
        <f>ROUND( $L$22 + $L$8, $L$9 - LOG( $L$10 ))</f>
        <v>0</v>
      </c>
    </row>
    <row r="24" spans="1:12" outlineLevel="1" x14ac:dyDescent="0.25">
      <c r="B24" s="19">
        <f>ROUND( $B$23 + $B$8, $B$9 - LOG( $B$10 ))</f>
        <v>77</v>
      </c>
      <c r="C24" s="19">
        <f>ROUND( $C$23 + $C$8, $C$9 - LOG( $C$10 ))</f>
        <v>110</v>
      </c>
      <c r="D24" s="19">
        <f>ROUND( $D$23 + $D$8, $D$9 - LOG( $D$10 ))</f>
        <v>165</v>
      </c>
      <c r="E24" s="19">
        <f>ROUND( $E$23 + $E$8, $E$9 - LOG( $E$10 ))</f>
        <v>77</v>
      </c>
      <c r="F24" s="19">
        <f>ROUND( $F$23 + $F$8, $F$9 - LOG( $F$10 ))</f>
        <v>77</v>
      </c>
      <c r="G24" s="19">
        <f>ROUND( $G$23 + $G$8, $G$9 - LOG( $G$10 ))</f>
        <v>77</v>
      </c>
      <c r="H24" s="19">
        <f>ROUND( $H$23 + $H$8, $H$9 - LOG( $H$10 ))</f>
        <v>77</v>
      </c>
      <c r="I24" s="19">
        <f>ROUND( $I$23 + $I$8, $I$9 - LOG( $I$10 ))</f>
        <v>77</v>
      </c>
      <c r="J24" s="19">
        <f>ROUND( $J$23 + $J$8, $J$9 - LOG( $J$10 ))</f>
        <v>77</v>
      </c>
      <c r="K24" s="19">
        <f>ROUND( $K$23 + $K$8, $K$9 - LOG( $K$10 ))</f>
        <v>77</v>
      </c>
      <c r="L24" s="19">
        <f>ROUND( $L$23 + $L$8, $L$9 - LOG( $L$10 ))</f>
        <v>0</v>
      </c>
    </row>
    <row r="25" spans="1:12" outlineLevel="1" x14ac:dyDescent="0.25">
      <c r="B25" s="19">
        <f>ROUND( $B$24 + $B$8, $B$9 - LOG( $B$10 ))</f>
        <v>84</v>
      </c>
      <c r="C25" s="19">
        <f>ROUND( $C$24 + $C$8, $C$9 - LOG( $C$10 ))</f>
        <v>120</v>
      </c>
      <c r="D25" s="19">
        <f>ROUND( $D$24 + $D$8, $D$9 - LOG( $D$10 ))</f>
        <v>180</v>
      </c>
      <c r="E25" s="19">
        <f>ROUND( $E$24 + $E$8, $E$9 - LOG( $E$10 ))</f>
        <v>84</v>
      </c>
      <c r="F25" s="19">
        <f>ROUND( $F$24 + $F$8, $F$9 - LOG( $F$10 ))</f>
        <v>84</v>
      </c>
      <c r="G25" s="19">
        <f>ROUND( $G$24 + $G$8, $G$9 - LOG( $G$10 ))</f>
        <v>84</v>
      </c>
      <c r="H25" s="19">
        <f>ROUND( $H$24 + $H$8, $H$9 - LOG( $H$10 ))</f>
        <v>84</v>
      </c>
      <c r="I25" s="19">
        <f>ROUND( $I$24 + $I$8, $I$9 - LOG( $I$10 ))</f>
        <v>84</v>
      </c>
      <c r="J25" s="19">
        <f>ROUND( $J$24 + $J$8, $J$9 - LOG( $J$10 ))</f>
        <v>84</v>
      </c>
      <c r="K25" s="19">
        <f>ROUND( $K$24 + $K$8, $K$9 - LOG( $K$10 ))</f>
        <v>84</v>
      </c>
      <c r="L25" s="19">
        <f>ROUND( $L$24 + $L$8, $L$9 - LOG( $L$10 ))</f>
        <v>0</v>
      </c>
    </row>
    <row r="26" spans="1:12" outlineLevel="1" x14ac:dyDescent="0.25">
      <c r="B26" s="19">
        <f>ROUND( $B$25 + $B$8, $B$9 - LOG( $B$10 ))</f>
        <v>91</v>
      </c>
      <c r="C26" s="19">
        <f>ROUND( $C$25 + $C$8, $C$9 - LOG( $C$10 ))</f>
        <v>130</v>
      </c>
      <c r="D26" s="19">
        <f>ROUND( $D$25 + $D$8, $D$9 - LOG( $D$10 ))</f>
        <v>195</v>
      </c>
      <c r="E26" s="19">
        <f>ROUND( $E$25 + $E$8, $E$9 - LOG( $E$10 ))</f>
        <v>91</v>
      </c>
      <c r="F26" s="19">
        <f>ROUND( $F$25 + $F$8, $F$9 - LOG( $F$10 ))</f>
        <v>91</v>
      </c>
      <c r="G26" s="19">
        <f>ROUND( $G$25 + $G$8, $G$9 - LOG( $G$10 ))</f>
        <v>91</v>
      </c>
      <c r="H26" s="19">
        <f>ROUND( $H$25 + $H$8, $H$9 - LOG( $H$10 ))</f>
        <v>91</v>
      </c>
      <c r="I26" s="19">
        <f>ROUND( $I$25 + $I$8, $I$9 - LOG( $I$10 ))</f>
        <v>91</v>
      </c>
      <c r="J26" s="19">
        <f>ROUND( $J$25 + $J$8, $J$9 - LOG( $J$10 ))</f>
        <v>91</v>
      </c>
      <c r="K26" s="19">
        <f>ROUND( $K$25 + $K$8, $K$9 - LOG( $K$10 ))</f>
        <v>91</v>
      </c>
      <c r="L26" s="19">
        <f>ROUND( $L$25 + $L$8, $L$9 - LOG( $L$10 ))</f>
        <v>0</v>
      </c>
    </row>
    <row r="27" spans="1:12" outlineLevel="1" x14ac:dyDescent="0.25">
      <c r="B27" s="19">
        <f>ROUND( $B$26 + $B$8, $B$9 - LOG( $B$10 ))</f>
        <v>98</v>
      </c>
      <c r="C27" s="19">
        <f>ROUND( $C$26 + $C$8, $C$9 - LOG( $C$10 ))</f>
        <v>140</v>
      </c>
      <c r="D27" s="19">
        <f>ROUND( $D$26 + $D$8, $D$9 - LOG( $D$10 ))</f>
        <v>210</v>
      </c>
      <c r="E27" s="19">
        <f>ROUND( $E$26 + $E$8, $E$9 - LOG( $E$10 ))</f>
        <v>98</v>
      </c>
      <c r="F27" s="19">
        <f>ROUND( $F$26 + $F$8, $F$9 - LOG( $F$10 ))</f>
        <v>98</v>
      </c>
      <c r="G27" s="19">
        <f>ROUND( $G$26 + $G$8, $G$9 - LOG( $G$10 ))</f>
        <v>98</v>
      </c>
      <c r="H27" s="19">
        <f>ROUND( $H$26 + $H$8, $H$9 - LOG( $H$10 ))</f>
        <v>98</v>
      </c>
      <c r="I27" s="19">
        <f>ROUND( $I$26 + $I$8, $I$9 - LOG( $I$10 ))</f>
        <v>98</v>
      </c>
      <c r="J27" s="19">
        <f>ROUND( $J$26 + $J$8, $J$9 - LOG( $J$10 ))</f>
        <v>98</v>
      </c>
      <c r="K27" s="19">
        <f>ROUND( $K$26 + $K$8, $K$9 - LOG( $K$10 ))</f>
        <v>98</v>
      </c>
      <c r="L27" s="19">
        <f>ROUND( $L$26 + $L$8, $L$9 - LOG( $L$10 ))</f>
        <v>0</v>
      </c>
    </row>
    <row r="28" spans="1:12" outlineLevel="1" x14ac:dyDescent="0.25">
      <c r="B28" s="19">
        <f>ROUND( $B$27 + $B$8, $B$9 - LOG( $B$10 ))</f>
        <v>105</v>
      </c>
      <c r="C28" s="19">
        <f>ROUND( $C$27 + $C$8, $C$9 - LOG( $C$10 ))</f>
        <v>150</v>
      </c>
      <c r="D28" s="19">
        <f>ROUND( $D$27 + $D$8, $D$9 - LOG( $D$10 ))</f>
        <v>225</v>
      </c>
      <c r="E28" s="19">
        <f>ROUND( $E$27 + $E$8, $E$9 - LOG( $E$10 ))</f>
        <v>105</v>
      </c>
      <c r="F28" s="19">
        <f>ROUND( $F$27 + $F$8, $F$9 - LOG( $F$10 ))</f>
        <v>105</v>
      </c>
      <c r="G28" s="19">
        <f>ROUND( $G$27 + $G$8, $G$9 - LOG( $G$10 ))</f>
        <v>105</v>
      </c>
      <c r="H28" s="19">
        <f>ROUND( $H$27 + $H$8, $H$9 - LOG( $H$10 ))</f>
        <v>105</v>
      </c>
      <c r="I28" s="19">
        <f>ROUND( $I$27 + $I$8, $I$9 - LOG( $I$10 ))</f>
        <v>105</v>
      </c>
      <c r="J28" s="19">
        <f>ROUND( $J$27 + $J$8, $J$9 - LOG( $J$10 ))</f>
        <v>105</v>
      </c>
      <c r="K28" s="19">
        <f>ROUND( $K$27 + $K$8, $K$9 - LOG( $K$10 ))</f>
        <v>105</v>
      </c>
      <c r="L28" s="19">
        <f>ROUND( $L$27 + $L$8, $L$9 - LOG( $L$10 ))</f>
        <v>0</v>
      </c>
    </row>
    <row r="29" spans="1:12" outlineLevel="1" x14ac:dyDescent="0.25">
      <c r="B29" s="19">
        <f>ROUND( $B$28 + $B$8, $B$9 - LOG( $B$10 ))</f>
        <v>112</v>
      </c>
      <c r="C29" s="19">
        <f>ROUND( $C$28 + $C$8, $C$9 - LOG( $C$10 ))</f>
        <v>160</v>
      </c>
      <c r="D29" s="19">
        <f>ROUND( $D$28 + $D$8, $D$9 - LOG( $D$10 ))</f>
        <v>240</v>
      </c>
      <c r="E29" s="19">
        <f>ROUND( $E$28 + $E$8, $E$9 - LOG( $E$10 ))</f>
        <v>112</v>
      </c>
      <c r="F29" s="19">
        <f>ROUND( $F$28 + $F$8, $F$9 - LOG( $F$10 ))</f>
        <v>112</v>
      </c>
      <c r="G29" s="19">
        <f>ROUND( $G$28 + $G$8, $G$9 - LOG( $G$10 ))</f>
        <v>112</v>
      </c>
      <c r="H29" s="19">
        <f>ROUND( $H$28 + $H$8, $H$9 - LOG( $H$10 ))</f>
        <v>112</v>
      </c>
      <c r="I29" s="19">
        <f>ROUND( $I$28 + $I$8, $I$9 - LOG( $I$10 ))</f>
        <v>112</v>
      </c>
      <c r="J29" s="19">
        <f>ROUND( $J$28 + $J$8, $J$9 - LOG( $J$10 ))</f>
        <v>112</v>
      </c>
      <c r="K29" s="19">
        <f>ROUND( $K$28 + $K$8, $K$9 - LOG( $K$10 ))</f>
        <v>112</v>
      </c>
      <c r="L29" s="19">
        <f>ROUND( $L$28 + $L$8, $L$9 - LOG( $L$10 ))</f>
        <v>0</v>
      </c>
    </row>
    <row r="30" spans="1:12" outlineLevel="1" x14ac:dyDescent="0.25">
      <c r="B30" s="19">
        <f>ROUND( $B$29 + $B$8, $B$9 - LOG( $B$10 ))</f>
        <v>119</v>
      </c>
      <c r="C30" s="19">
        <f>ROUND( $C$29 + $C$8, $C$9 - LOG( $C$10 ))</f>
        <v>170</v>
      </c>
      <c r="D30" s="19">
        <f>ROUND( $D$29 + $D$8, $D$9 - LOG( $D$10 ))</f>
        <v>255</v>
      </c>
      <c r="E30" s="19">
        <f>ROUND( $E$29 + $E$8, $E$9 - LOG( $E$10 ))</f>
        <v>119</v>
      </c>
      <c r="F30" s="19">
        <f>ROUND( $F$29 + $F$8, $F$9 - LOG( $F$10 ))</f>
        <v>119</v>
      </c>
      <c r="G30" s="19">
        <f>ROUND( $G$29 + $G$8, $G$9 - LOG( $G$10 ))</f>
        <v>119</v>
      </c>
      <c r="H30" s="19">
        <f>ROUND( $H$29 + $H$8, $H$9 - LOG( $H$10 ))</f>
        <v>119</v>
      </c>
      <c r="I30" s="19">
        <f>ROUND( $I$29 + $I$8, $I$9 - LOG( $I$10 ))</f>
        <v>119</v>
      </c>
      <c r="J30" s="19">
        <f>ROUND( $J$29 + $J$8, $J$9 - LOG( $J$10 ))</f>
        <v>119</v>
      </c>
      <c r="K30" s="19">
        <f>ROUND( $K$29 + $K$8, $K$9 - LOG( $K$10 ))</f>
        <v>119</v>
      </c>
      <c r="L30" s="19">
        <f>ROUND( $L$29 + $L$8, $L$9 - LOG( $L$10 ))</f>
        <v>0</v>
      </c>
    </row>
    <row r="31" spans="1:12" outlineLevel="1" x14ac:dyDescent="0.25">
      <c r="B31" s="19">
        <f>ROUND( $B$30 + $B$8, $B$9 - LOG( $B$10 ))</f>
        <v>126</v>
      </c>
      <c r="C31" s="19">
        <f>ROUND( $C$30 + $C$8, $C$9 - LOG( $C$10 ))</f>
        <v>180</v>
      </c>
      <c r="D31" s="19">
        <f>ROUND( $D$30 + $D$8, $D$9 - LOG( $D$10 ))</f>
        <v>270</v>
      </c>
      <c r="E31" s="19">
        <f>ROUND( $E$30 + $E$8, $E$9 - LOG( $E$10 ))</f>
        <v>126</v>
      </c>
      <c r="F31" s="19">
        <f>ROUND( $F$30 + $F$8, $F$9 - LOG( $F$10 ))</f>
        <v>126</v>
      </c>
      <c r="G31" s="19">
        <f>ROUND( $G$30 + $G$8, $G$9 - LOG( $G$10 ))</f>
        <v>126</v>
      </c>
      <c r="H31" s="19">
        <f>ROUND( $H$30 + $H$8, $H$9 - LOG( $H$10 ))</f>
        <v>126</v>
      </c>
      <c r="I31" s="19">
        <f>ROUND( $I$30 + $I$8, $I$9 - LOG( $I$10 ))</f>
        <v>126</v>
      </c>
      <c r="J31" s="19">
        <f>ROUND( $J$30 + $J$8, $J$9 - LOG( $J$10 ))</f>
        <v>126</v>
      </c>
      <c r="K31" s="19">
        <f>ROUND( $K$30 + $K$8, $K$9 - LOG( $K$10 ))</f>
        <v>126</v>
      </c>
      <c r="L31" s="19">
        <f>ROUND( $L$30 + $L$8, $L$9 - LOG( $L$10 ))</f>
        <v>0</v>
      </c>
    </row>
    <row r="32" spans="1:12" outlineLevel="1" x14ac:dyDescent="0.25">
      <c r="B32" s="19">
        <f>ROUND( $B$31 + $B$8, $B$9 - LOG( $B$10 ))</f>
        <v>133</v>
      </c>
      <c r="C32" s="19">
        <f>ROUND( $C$31 + $C$8, $C$9 - LOG( $C$10 ))</f>
        <v>190</v>
      </c>
      <c r="D32" s="19">
        <f>ROUND( $D$31 + $D$8, $D$9 - LOG( $D$10 ))</f>
        <v>285</v>
      </c>
      <c r="E32" s="19">
        <f>ROUND( $E$31 + $E$8, $E$9 - LOG( $E$10 ))</f>
        <v>133</v>
      </c>
      <c r="F32" s="19">
        <f>ROUND( $F$31 + $F$8, $F$9 - LOG( $F$10 ))</f>
        <v>133</v>
      </c>
      <c r="G32" s="19">
        <f>ROUND( $G$31 + $G$8, $G$9 - LOG( $G$10 ))</f>
        <v>133</v>
      </c>
      <c r="H32" s="19">
        <f>ROUND( $H$31 + $H$8, $H$9 - LOG( $H$10 ))</f>
        <v>133</v>
      </c>
      <c r="I32" s="19">
        <f>ROUND( $I$31 + $I$8, $I$9 - LOG( $I$10 ))</f>
        <v>133</v>
      </c>
      <c r="J32" s="19">
        <f>ROUND( $J$31 + $J$8, $J$9 - LOG( $J$10 ))</f>
        <v>133</v>
      </c>
      <c r="K32" s="19">
        <f>ROUND( $K$31 + $K$8, $K$9 - LOG( $K$10 ))</f>
        <v>133</v>
      </c>
      <c r="L32" s="19">
        <f>ROUND( $L$31 + $L$8, $L$9 - LOG( $L$10 ))</f>
        <v>0</v>
      </c>
    </row>
    <row r="33" spans="2:12" outlineLevel="1" x14ac:dyDescent="0.25">
      <c r="B33" s="19">
        <f>ROUND( $B$32 + $B$8, $B$9 - LOG( $B$10 ))</f>
        <v>140</v>
      </c>
      <c r="C33" s="19">
        <f>ROUND( $C$32 + $C$8, $C$9 - LOG( $C$10 ))</f>
        <v>200</v>
      </c>
      <c r="D33" s="19">
        <f>ROUND( $D$32 + $D$8, $D$9 - LOG( $D$10 ))</f>
        <v>300</v>
      </c>
      <c r="E33" s="19">
        <f>ROUND( $E$32 + $E$8, $E$9 - LOG( $E$10 ))</f>
        <v>140</v>
      </c>
      <c r="F33" s="19">
        <f>ROUND( $F$32 + $F$8, $F$9 - LOG( $F$10 ))</f>
        <v>140</v>
      </c>
      <c r="G33" s="19">
        <f>ROUND( $G$32 + $G$8, $G$9 - LOG( $G$10 ))</f>
        <v>140</v>
      </c>
      <c r="H33" s="19">
        <f>ROUND( $H$32 + $H$8, $H$9 - LOG( $H$10 ))</f>
        <v>140</v>
      </c>
      <c r="I33" s="19">
        <f>ROUND( $I$32 + $I$8, $I$9 - LOG( $I$10 ))</f>
        <v>140</v>
      </c>
      <c r="J33" s="19">
        <f>ROUND( $J$32 + $J$8, $J$9 - LOG( $J$10 ))</f>
        <v>140</v>
      </c>
      <c r="K33" s="19">
        <f>ROUND( $K$32 + $K$8, $K$9 - LOG( $K$10 ))</f>
        <v>140</v>
      </c>
      <c r="L33" s="19">
        <f>ROUND( $L$32 + $L$8, $L$9 - LOG( $L$10 ))</f>
        <v>0</v>
      </c>
    </row>
    <row r="34" spans="2:12" outlineLevel="1" x14ac:dyDescent="0.25">
      <c r="B34" s="19">
        <f>ROUND( $B$33 + $B$8, $B$9 - LOG( $B$10 ))</f>
        <v>147</v>
      </c>
      <c r="C34" s="19">
        <f>ROUND( $C$33 + $C$8, $C$9 - LOG( $C$10 ))</f>
        <v>210</v>
      </c>
      <c r="D34" s="19">
        <f>ROUND( $D$33 + $D$8, $D$9 - LOG( $D$10 ))</f>
        <v>315</v>
      </c>
      <c r="E34" s="19">
        <f>ROUND( $E$33 + $E$8, $E$9 - LOG( $E$10 ))</f>
        <v>147</v>
      </c>
      <c r="F34" s="19">
        <f>ROUND( $F$33 + $F$8, $F$9 - LOG( $F$10 ))</f>
        <v>147</v>
      </c>
      <c r="G34" s="19">
        <f>ROUND( $G$33 + $G$8, $G$9 - LOG( $G$10 ))</f>
        <v>147</v>
      </c>
      <c r="H34" s="19">
        <f>ROUND( $H$33 + $H$8, $H$9 - LOG( $H$10 ))</f>
        <v>147</v>
      </c>
      <c r="I34" s="19">
        <f>ROUND( $I$33 + $I$8, $I$9 - LOG( $I$10 ))</f>
        <v>147</v>
      </c>
      <c r="J34" s="19">
        <f>ROUND( $J$33 + $J$8, $J$9 - LOG( $J$10 ))</f>
        <v>147</v>
      </c>
      <c r="K34" s="19">
        <f>ROUND( $K$33 + $K$8, $K$9 - LOG( $K$10 ))</f>
        <v>147</v>
      </c>
      <c r="L34" s="19">
        <f>ROUND( $L$33 + $L$8, $L$9 - LOG( $L$10 ))</f>
        <v>0</v>
      </c>
    </row>
    <row r="35" spans="2:12" outlineLevel="1" x14ac:dyDescent="0.25">
      <c r="B35" s="19">
        <f>ROUND( $B$34 + $B$8, $B$9 - LOG( $B$10 ))</f>
        <v>154</v>
      </c>
      <c r="C35" s="19">
        <f>ROUND( $C$34 + $C$8, $C$9 - LOG( $C$10 ))</f>
        <v>220</v>
      </c>
      <c r="D35" s="19">
        <f>ROUND( $D$34 + $D$8, $D$9 - LOG( $D$10 ))</f>
        <v>330</v>
      </c>
      <c r="E35" s="19">
        <f>ROUND( $E$34 + $E$8, $E$9 - LOG( $E$10 ))</f>
        <v>154</v>
      </c>
      <c r="F35" s="19">
        <f>ROUND( $F$34 + $F$8, $F$9 - LOG( $F$10 ))</f>
        <v>154</v>
      </c>
      <c r="G35" s="19">
        <f>ROUND( $G$34 + $G$8, $G$9 - LOG( $G$10 ))</f>
        <v>154</v>
      </c>
      <c r="H35" s="19">
        <f>ROUND( $H$34 + $H$8, $H$9 - LOG( $H$10 ))</f>
        <v>154</v>
      </c>
      <c r="I35" s="19">
        <f>ROUND( $I$34 + $I$8, $I$9 - LOG( $I$10 ))</f>
        <v>154</v>
      </c>
      <c r="J35" s="19">
        <f>ROUND( $J$34 + $J$8, $J$9 - LOG( $J$10 ))</f>
        <v>154</v>
      </c>
      <c r="K35" s="19">
        <f>ROUND( $K$34 + $K$8, $K$9 - LOG( $K$10 ))</f>
        <v>154</v>
      </c>
      <c r="L35" s="19">
        <f>ROUND( $L$34 + $L$8, $L$9 - LOG( $L$10 ))</f>
        <v>0</v>
      </c>
    </row>
    <row r="36" spans="2:12" outlineLevel="1" x14ac:dyDescent="0.25">
      <c r="B36" s="19">
        <f>ROUND( $B$35 + $B$8, $B$9 - LOG( $B$10 ))</f>
        <v>161</v>
      </c>
      <c r="C36" s="19">
        <f>ROUND( $C$35 + $C$8, $C$9 - LOG( $C$10 ))</f>
        <v>230</v>
      </c>
      <c r="D36" s="19">
        <f>ROUND( $D$35 + $D$8, $D$9 - LOG( $D$10 ))</f>
        <v>345</v>
      </c>
      <c r="E36" s="19">
        <f>ROUND( $E$35 + $E$8, $E$9 - LOG( $E$10 ))</f>
        <v>161</v>
      </c>
      <c r="F36" s="19">
        <f>ROUND( $F$35 + $F$8, $F$9 - LOG( $F$10 ))</f>
        <v>161</v>
      </c>
      <c r="G36" s="19">
        <f>ROUND( $G$35 + $G$8, $G$9 - LOG( $G$10 ))</f>
        <v>161</v>
      </c>
      <c r="H36" s="19">
        <f>ROUND( $H$35 + $H$8, $H$9 - LOG( $H$10 ))</f>
        <v>161</v>
      </c>
      <c r="I36" s="19">
        <f>ROUND( $I$35 + $I$8, $I$9 - LOG( $I$10 ))</f>
        <v>161</v>
      </c>
      <c r="J36" s="19">
        <f>ROUND( $J$35 + $J$8, $J$9 - LOG( $J$10 ))</f>
        <v>161</v>
      </c>
      <c r="K36" s="19">
        <f>ROUND( $K$35 + $K$8, $K$9 - LOG( $K$10 ))</f>
        <v>161</v>
      </c>
      <c r="L36" s="19">
        <f>ROUND( $L$35 + $L$8, $L$9 - LOG( $L$10 ))</f>
        <v>0</v>
      </c>
    </row>
    <row r="37" spans="2:12" outlineLevel="1" x14ac:dyDescent="0.25">
      <c r="B37" s="19">
        <f>ROUND( $B$36 + $B$8, $B$9 - LOG( $B$10 ))</f>
        <v>168</v>
      </c>
      <c r="C37" s="19">
        <f>ROUND( $C$36 + $C$8, $C$9 - LOG( $C$10 ))</f>
        <v>240</v>
      </c>
      <c r="D37" s="19">
        <f>ROUND( $D$36 + $D$8, $D$9 - LOG( $D$10 ))</f>
        <v>360</v>
      </c>
      <c r="E37" s="19">
        <f>ROUND( $E$36 + $E$8, $E$9 - LOG( $E$10 ))</f>
        <v>168</v>
      </c>
      <c r="F37" s="19">
        <f>ROUND( $F$36 + $F$8, $F$9 - LOG( $F$10 ))</f>
        <v>168</v>
      </c>
      <c r="G37" s="19">
        <f>ROUND( $G$36 + $G$8, $G$9 - LOG( $G$10 ))</f>
        <v>168</v>
      </c>
      <c r="H37" s="19">
        <f>ROUND( $H$36 + $H$8, $H$9 - LOG( $H$10 ))</f>
        <v>168</v>
      </c>
      <c r="I37" s="19">
        <f>ROUND( $I$36 + $I$8, $I$9 - LOG( $I$10 ))</f>
        <v>168</v>
      </c>
      <c r="J37" s="19">
        <f>ROUND( $J$36 + $J$8, $J$9 - LOG( $J$10 ))</f>
        <v>168</v>
      </c>
      <c r="K37" s="19">
        <f>ROUND( $K$36 + $K$8, $K$9 - LOG( $K$10 ))</f>
        <v>168</v>
      </c>
      <c r="L37" s="19">
        <f>ROUND( $L$36 + $L$8, $L$9 - LOG( $L$10 ))</f>
        <v>0</v>
      </c>
    </row>
    <row r="38" spans="2:12" outlineLevel="1" x14ac:dyDescent="0.25">
      <c r="B38" s="19">
        <f>ROUND( $B$37 + $B$8, $B$9 - LOG( $B$10 ))</f>
        <v>175</v>
      </c>
      <c r="C38" s="19">
        <f>ROUND( $C$37 + $C$8, $C$9 - LOG( $C$10 ))</f>
        <v>250</v>
      </c>
      <c r="D38" s="19">
        <f>ROUND( $D$37 + $D$8, $D$9 - LOG( $D$10 ))</f>
        <v>375</v>
      </c>
      <c r="E38" s="19">
        <f>ROUND( $E$37 + $E$8, $E$9 - LOG( $E$10 ))</f>
        <v>175</v>
      </c>
      <c r="F38" s="19">
        <f>ROUND( $F$37 + $F$8, $F$9 - LOG( $F$10 ))</f>
        <v>175</v>
      </c>
      <c r="G38" s="19">
        <f>ROUND( $G$37 + $G$8, $G$9 - LOG( $G$10 ))</f>
        <v>175</v>
      </c>
      <c r="H38" s="19">
        <f>ROUND( $H$37 + $H$8, $H$9 - LOG( $H$10 ))</f>
        <v>175</v>
      </c>
      <c r="I38" s="19">
        <f>ROUND( $I$37 + $I$8, $I$9 - LOG( $I$10 ))</f>
        <v>175</v>
      </c>
      <c r="J38" s="19">
        <f>ROUND( $J$37 + $J$8, $J$9 - LOG( $J$10 ))</f>
        <v>175</v>
      </c>
      <c r="K38" s="19">
        <f>ROUND( $K$37 + $K$8, $K$9 - LOG( $K$10 ))</f>
        <v>175</v>
      </c>
      <c r="L38" s="19">
        <f>ROUND( $L$37 + $L$8, $L$9 - LOG( $L$10 ))</f>
        <v>0</v>
      </c>
    </row>
    <row r="39" spans="2:12" outlineLevel="1" x14ac:dyDescent="0.25">
      <c r="B39" s="19">
        <f>ROUND( $B$38 + $B$8, $B$9 - LOG( $B$10 ))</f>
        <v>182</v>
      </c>
      <c r="C39" s="19">
        <f>ROUND( $C$38 + $C$8, $C$9 - LOG( $C$10 ))</f>
        <v>260</v>
      </c>
      <c r="D39" s="19">
        <f>ROUND( $D$38 + $D$8, $D$9 - LOG( $D$10 ))</f>
        <v>390</v>
      </c>
      <c r="E39" s="19">
        <f>ROUND( $E$38 + $E$8, $E$9 - LOG( $E$10 ))</f>
        <v>182</v>
      </c>
      <c r="F39" s="19">
        <f>ROUND( $F$38 + $F$8, $F$9 - LOG( $F$10 ))</f>
        <v>182</v>
      </c>
      <c r="G39" s="19">
        <f>ROUND( $G$38 + $G$8, $G$9 - LOG( $G$10 ))</f>
        <v>182</v>
      </c>
      <c r="H39" s="19">
        <f>ROUND( $H$38 + $H$8, $H$9 - LOG( $H$10 ))</f>
        <v>182</v>
      </c>
      <c r="I39" s="19">
        <f>ROUND( $I$38 + $I$8, $I$9 - LOG( $I$10 ))</f>
        <v>182</v>
      </c>
      <c r="J39" s="19">
        <f>ROUND( $J$38 + $J$8, $J$9 - LOG( $J$10 ))</f>
        <v>182</v>
      </c>
      <c r="K39" s="19">
        <f>ROUND( $K$38 + $K$8, $K$9 - LOG( $K$10 ))</f>
        <v>182</v>
      </c>
      <c r="L39" s="19">
        <f>ROUND( $L$38 + $L$8, $L$9 - LOG( $L$10 ))</f>
        <v>0</v>
      </c>
    </row>
    <row r="40" spans="2:12" outlineLevel="1" x14ac:dyDescent="0.25">
      <c r="B40" s="19">
        <f>ROUND( $B$39 + $B$8, $B$9 - LOG( $B$10 ))</f>
        <v>189</v>
      </c>
      <c r="C40" s="19">
        <f>ROUND( $C$39 + $C$8, $C$9 - LOG( $C$10 ))</f>
        <v>270</v>
      </c>
      <c r="D40" s="19">
        <f>ROUND( $D$39 + $D$8, $D$9 - LOG( $D$10 ))</f>
        <v>405</v>
      </c>
      <c r="E40" s="19">
        <f>ROUND( $E$39 + $E$8, $E$9 - LOG( $E$10 ))</f>
        <v>189</v>
      </c>
      <c r="F40" s="19">
        <f>ROUND( $F$39 + $F$8, $F$9 - LOG( $F$10 ))</f>
        <v>189</v>
      </c>
      <c r="G40" s="19">
        <f>ROUND( $G$39 + $G$8, $G$9 - LOG( $G$10 ))</f>
        <v>189</v>
      </c>
      <c r="H40" s="19">
        <f>ROUND( $H$39 + $H$8, $H$9 - LOG( $H$10 ))</f>
        <v>189</v>
      </c>
      <c r="I40" s="19">
        <f>ROUND( $I$39 + $I$8, $I$9 - LOG( $I$10 ))</f>
        <v>189</v>
      </c>
      <c r="J40" s="19">
        <f>ROUND( $J$39 + $J$8, $J$9 - LOG( $J$10 ))</f>
        <v>189</v>
      </c>
      <c r="K40" s="19">
        <f>ROUND( $K$39 + $K$8, $K$9 - LOG( $K$10 ))</f>
        <v>189</v>
      </c>
      <c r="L40" s="19">
        <f>ROUND( $L$39 + $L$8, $L$9 - LOG( $L$10 ))</f>
        <v>0</v>
      </c>
    </row>
    <row r="41" spans="2:12" outlineLevel="1" x14ac:dyDescent="0.25">
      <c r="B41" s="19">
        <f>ROUND( $B$40 + $B$8, $B$9 - LOG( $B$10 ))</f>
        <v>196</v>
      </c>
      <c r="C41" s="19">
        <f>ROUND( $C$40 + $C$8, $C$9 - LOG( $C$10 ))</f>
        <v>280</v>
      </c>
      <c r="D41" s="19">
        <f>ROUND( $D$40 + $D$8, $D$9 - LOG( $D$10 ))</f>
        <v>420</v>
      </c>
      <c r="E41" s="19">
        <f>ROUND( $E$40 + $E$8, $E$9 - LOG( $E$10 ))</f>
        <v>196</v>
      </c>
      <c r="F41" s="19">
        <f>ROUND( $F$40 + $F$8, $F$9 - LOG( $F$10 ))</f>
        <v>196</v>
      </c>
      <c r="G41" s="19">
        <f>ROUND( $G$40 + $G$8, $G$9 - LOG( $G$10 ))</f>
        <v>196</v>
      </c>
      <c r="H41" s="19">
        <f>ROUND( $H$40 + $H$8, $H$9 - LOG( $H$10 ))</f>
        <v>196</v>
      </c>
      <c r="I41" s="19">
        <f>ROUND( $I$40 + $I$8, $I$9 - LOG( $I$10 ))</f>
        <v>196</v>
      </c>
      <c r="J41" s="19">
        <f>ROUND( $J$40 + $J$8, $J$9 - LOG( $J$10 ))</f>
        <v>196</v>
      </c>
      <c r="K41" s="19">
        <f>ROUND( $K$40 + $K$8, $K$9 - LOG( $K$10 ))</f>
        <v>196</v>
      </c>
      <c r="L41" s="19">
        <f>ROUND( $L$40 + $L$8, $L$9 - LOG( $L$10 ))</f>
        <v>0</v>
      </c>
    </row>
    <row r="42" spans="2:12" outlineLevel="1" x14ac:dyDescent="0.25">
      <c r="B42" s="19">
        <f>ROUND( $B$41 + $B$8, $B$9 - LOG( $B$10 ))</f>
        <v>203</v>
      </c>
      <c r="C42" s="19">
        <f>ROUND( $C$41 + $C$8, $C$9 - LOG( $C$10 ))</f>
        <v>290</v>
      </c>
      <c r="D42" s="19">
        <f>ROUND( $D$41 + $D$8, $D$9 - LOG( $D$10 ))</f>
        <v>435</v>
      </c>
      <c r="E42" s="19">
        <f>ROUND( $E$41 + $E$8, $E$9 - LOG( $E$10 ))</f>
        <v>203</v>
      </c>
      <c r="F42" s="19">
        <f>ROUND( $F$41 + $F$8, $F$9 - LOG( $F$10 ))</f>
        <v>203</v>
      </c>
      <c r="G42" s="19">
        <f>ROUND( $G$41 + $G$8, $G$9 - LOG( $G$10 ))</f>
        <v>203</v>
      </c>
      <c r="H42" s="19">
        <f>ROUND( $H$41 + $H$8, $H$9 - LOG( $H$10 ))</f>
        <v>203</v>
      </c>
      <c r="I42" s="19">
        <f>ROUND( $I$41 + $I$8, $I$9 - LOG( $I$10 ))</f>
        <v>203</v>
      </c>
      <c r="J42" s="19">
        <f>ROUND( $J$41 + $J$8, $J$9 - LOG( $J$10 ))</f>
        <v>203</v>
      </c>
      <c r="K42" s="19">
        <f>ROUND( $K$41 + $K$8, $K$9 - LOG( $K$10 ))</f>
        <v>203</v>
      </c>
      <c r="L42" s="19">
        <f>ROUND( $L$41 + $L$8, $L$9 - LOG( $L$10 ))</f>
        <v>0</v>
      </c>
    </row>
    <row r="43" spans="2:12" outlineLevel="1" x14ac:dyDescent="0.25">
      <c r="B43" s="19">
        <f>ROUND( $B$42 + $B$8, $B$9 - LOG( $B$10 ))</f>
        <v>210</v>
      </c>
      <c r="C43" s="19">
        <f>ROUND( $C$42 + $C$8, $C$9 - LOG( $C$10 ))</f>
        <v>300</v>
      </c>
      <c r="D43" s="19">
        <f>ROUND( $D$42 + $D$8, $D$9 - LOG( $D$10 ))</f>
        <v>450</v>
      </c>
      <c r="E43" s="19">
        <f>ROUND( $E$42 + $E$8, $E$9 - LOG( $E$10 ))</f>
        <v>210</v>
      </c>
      <c r="F43" s="19">
        <f>ROUND( $F$42 + $F$8, $F$9 - LOG( $F$10 ))</f>
        <v>210</v>
      </c>
      <c r="G43" s="19">
        <f>ROUND( $G$42 + $G$8, $G$9 - LOG( $G$10 ))</f>
        <v>210</v>
      </c>
      <c r="H43" s="19">
        <f>ROUND( $H$42 + $H$8, $H$9 - LOG( $H$10 ))</f>
        <v>210</v>
      </c>
      <c r="I43" s="19">
        <f>ROUND( $I$42 + $I$8, $I$9 - LOG( $I$10 ))</f>
        <v>210</v>
      </c>
      <c r="J43" s="19">
        <f>ROUND( $J$42 + $J$8, $J$9 - LOG( $J$10 ))</f>
        <v>210</v>
      </c>
      <c r="K43" s="19">
        <f>ROUND( $K$42 + $K$8, $K$9 - LOG( $K$10 ))</f>
        <v>210</v>
      </c>
      <c r="L43" s="19">
        <f>ROUND( $L$42 + $L$8, $L$9 - LOG( $L$10 ))</f>
        <v>0</v>
      </c>
    </row>
    <row r="44" spans="2:12" outlineLevel="1" x14ac:dyDescent="0.25">
      <c r="B44" s="19">
        <f>ROUND( $B$43 + $B$8, $B$9 - LOG( $B$10 ))</f>
        <v>217</v>
      </c>
      <c r="C44" s="19">
        <f>ROUND( $C$43 + $C$8, $C$9 - LOG( $C$10 ))</f>
        <v>310</v>
      </c>
      <c r="D44" s="19">
        <f>ROUND( $D$43 + $D$8, $D$9 - LOG( $D$10 ))</f>
        <v>465</v>
      </c>
      <c r="E44" s="19">
        <f>ROUND( $E$43 + $E$8, $E$9 - LOG( $E$10 ))</f>
        <v>217</v>
      </c>
      <c r="F44" s="19">
        <f>ROUND( $F$43 + $F$8, $F$9 - LOG( $F$10 ))</f>
        <v>217</v>
      </c>
      <c r="G44" s="19">
        <f>ROUND( $G$43 + $G$8, $G$9 - LOG( $G$10 ))</f>
        <v>217</v>
      </c>
      <c r="H44" s="19">
        <f>ROUND( $H$43 + $H$8, $H$9 - LOG( $H$10 ))</f>
        <v>217</v>
      </c>
      <c r="I44" s="19">
        <f>ROUND( $I$43 + $I$8, $I$9 - LOG( $I$10 ))</f>
        <v>217</v>
      </c>
      <c r="J44" s="19">
        <f>ROUND( $J$43 + $J$8, $J$9 - LOG( $J$10 ))</f>
        <v>217</v>
      </c>
      <c r="K44" s="19">
        <f>ROUND( $K$43 + $K$8, $K$9 - LOG( $K$10 ))</f>
        <v>217</v>
      </c>
      <c r="L44" s="19">
        <f>ROUND( $L$43 + $L$8, $L$9 - LOG( $L$10 ))</f>
        <v>0</v>
      </c>
    </row>
    <row r="45" spans="2:12" outlineLevel="1" x14ac:dyDescent="0.25">
      <c r="B45" s="19">
        <f>ROUND( $B$44 + $B$8, $B$9 - LOG( $B$10 ))</f>
        <v>224</v>
      </c>
      <c r="C45" s="19">
        <f>ROUND( $C$44 + $C$8, $C$9 - LOG( $C$10 ))</f>
        <v>320</v>
      </c>
      <c r="D45" s="19">
        <f>ROUND( $D$44 + $D$8, $D$9 - LOG( $D$10 ))</f>
        <v>480</v>
      </c>
      <c r="E45" s="19">
        <f>ROUND( $E$44 + $E$8, $E$9 - LOG( $E$10 ))</f>
        <v>224</v>
      </c>
      <c r="F45" s="19">
        <f>ROUND( $F$44 + $F$8, $F$9 - LOG( $F$10 ))</f>
        <v>224</v>
      </c>
      <c r="G45" s="19">
        <f>ROUND( $G$44 + $G$8, $G$9 - LOG( $G$10 ))</f>
        <v>224</v>
      </c>
      <c r="H45" s="19">
        <f>ROUND( $H$44 + $H$8, $H$9 - LOG( $H$10 ))</f>
        <v>224</v>
      </c>
      <c r="I45" s="19">
        <f>ROUND( $I$44 + $I$8, $I$9 - LOG( $I$10 ))</f>
        <v>224</v>
      </c>
      <c r="J45" s="19">
        <f>ROUND( $J$44 + $J$8, $J$9 - LOG( $J$10 ))</f>
        <v>224</v>
      </c>
      <c r="K45" s="19">
        <f>ROUND( $K$44 + $K$8, $K$9 - LOG( $K$10 ))</f>
        <v>224</v>
      </c>
      <c r="L45" s="19">
        <f>ROUND( $L$44 + $L$8, $L$9 - LOG( $L$10 ))</f>
        <v>0</v>
      </c>
    </row>
    <row r="46" spans="2:12" outlineLevel="1" x14ac:dyDescent="0.25">
      <c r="B46" s="19">
        <f>ROUND( $B$45 + $B$8, $B$9 - LOG( $B$10 ))</f>
        <v>231</v>
      </c>
      <c r="C46" s="19">
        <f>ROUND( $C$45 + $C$8, $C$9 - LOG( $C$10 ))</f>
        <v>330</v>
      </c>
      <c r="D46" s="19">
        <f>ROUND( $D$45 + $D$8, $D$9 - LOG( $D$10 ))</f>
        <v>495</v>
      </c>
      <c r="E46" s="19">
        <f>ROUND( $E$45 + $E$8, $E$9 - LOG( $E$10 ))</f>
        <v>231</v>
      </c>
      <c r="F46" s="19">
        <f>ROUND( $F$45 + $F$8, $F$9 - LOG( $F$10 ))</f>
        <v>231</v>
      </c>
      <c r="G46" s="19">
        <f>ROUND( $G$45 + $G$8, $G$9 - LOG( $G$10 ))</f>
        <v>231</v>
      </c>
      <c r="H46" s="19">
        <f>ROUND( $H$45 + $H$8, $H$9 - LOG( $H$10 ))</f>
        <v>231</v>
      </c>
      <c r="I46" s="19">
        <f>ROUND( $I$45 + $I$8, $I$9 - LOG( $I$10 ))</f>
        <v>231</v>
      </c>
      <c r="J46" s="19">
        <f>ROUND( $J$45 + $J$8, $J$9 - LOG( $J$10 ))</f>
        <v>231</v>
      </c>
      <c r="K46" s="19">
        <f>ROUND( $K$45 + $K$8, $K$9 - LOG( $K$10 ))</f>
        <v>231</v>
      </c>
      <c r="L46" s="19">
        <f>ROUND( $L$45 + $L$8, $L$9 - LOG( $L$10 ))</f>
        <v>0</v>
      </c>
    </row>
    <row r="47" spans="2:12" outlineLevel="1" x14ac:dyDescent="0.25">
      <c r="B47" s="19">
        <f>ROUND( $B$46 + $B$8, $B$9 - LOG( $B$10 ))</f>
        <v>238</v>
      </c>
      <c r="C47" s="19">
        <f>ROUND( $C$46 + $C$8, $C$9 - LOG( $C$10 ))</f>
        <v>340</v>
      </c>
      <c r="D47" s="19">
        <f>ROUND( $D$46 + $D$8, $D$9 - LOG( $D$10 ))</f>
        <v>510</v>
      </c>
      <c r="E47" s="19">
        <f>ROUND( $E$46 + $E$8, $E$9 - LOG( $E$10 ))</f>
        <v>238</v>
      </c>
      <c r="F47" s="19">
        <f>ROUND( $F$46 + $F$8, $F$9 - LOG( $F$10 ))</f>
        <v>238</v>
      </c>
      <c r="G47" s="19">
        <f>ROUND( $G$46 + $G$8, $G$9 - LOG( $G$10 ))</f>
        <v>238</v>
      </c>
      <c r="H47" s="19">
        <f>ROUND( $H$46 + $H$8, $H$9 - LOG( $H$10 ))</f>
        <v>238</v>
      </c>
      <c r="I47" s="19">
        <f>ROUND( $I$46 + $I$8, $I$9 - LOG( $I$10 ))</f>
        <v>238</v>
      </c>
      <c r="J47" s="19">
        <f>ROUND( $J$46 + $J$8, $J$9 - LOG( $J$10 ))</f>
        <v>238</v>
      </c>
      <c r="K47" s="19">
        <f>ROUND( $K$46 + $K$8, $K$9 - LOG( $K$10 ))</f>
        <v>238</v>
      </c>
      <c r="L47" s="19">
        <f>ROUND( $L$46 + $L$8, $L$9 - LOG( $L$10 ))</f>
        <v>0</v>
      </c>
    </row>
    <row r="48" spans="2:12" outlineLevel="1" x14ac:dyDescent="0.25">
      <c r="B48" s="19">
        <f>ROUND( $B$47 + $B$8, $B$9 - LOG( $B$10 ))</f>
        <v>245</v>
      </c>
      <c r="C48" s="19">
        <f>ROUND( $C$47 + $C$8, $C$9 - LOG( $C$10 ))</f>
        <v>350</v>
      </c>
      <c r="D48" s="19">
        <f>ROUND( $D$47 + $D$8, $D$9 - LOG( $D$10 ))</f>
        <v>525</v>
      </c>
      <c r="E48" s="19">
        <f>ROUND( $E$47 + $E$8, $E$9 - LOG( $E$10 ))</f>
        <v>245</v>
      </c>
      <c r="F48" s="19">
        <f>ROUND( $F$47 + $F$8, $F$9 - LOG( $F$10 ))</f>
        <v>245</v>
      </c>
      <c r="G48" s="19">
        <f>ROUND( $G$47 + $G$8, $G$9 - LOG( $G$10 ))</f>
        <v>245</v>
      </c>
      <c r="H48" s="19">
        <f>ROUND( $H$47 + $H$8, $H$9 - LOG( $H$10 ))</f>
        <v>245</v>
      </c>
      <c r="I48" s="19">
        <f>ROUND( $I$47 + $I$8, $I$9 - LOG( $I$10 ))</f>
        <v>245</v>
      </c>
      <c r="J48" s="19">
        <f>ROUND( $J$47 + $J$8, $J$9 - LOG( $J$10 ))</f>
        <v>245</v>
      </c>
      <c r="K48" s="19">
        <f>ROUND( $K$47 + $K$8, $K$9 - LOG( $K$10 ))</f>
        <v>245</v>
      </c>
      <c r="L48" s="19">
        <f>ROUND( $L$47 + $L$8, $L$9 - LOG( $L$10 ))</f>
        <v>0</v>
      </c>
    </row>
    <row r="49" spans="2:12" outlineLevel="1" x14ac:dyDescent="0.25">
      <c r="B49" s="19">
        <f>ROUND( $B$48 + $B$8, $B$9 - LOG( $B$10 ))</f>
        <v>252</v>
      </c>
      <c r="C49" s="19">
        <f>ROUND( $C$48 + $C$8, $C$9 - LOG( $C$10 ))</f>
        <v>360</v>
      </c>
      <c r="D49" s="19">
        <f>ROUND( $D$48 + $D$8, $D$9 - LOG( $D$10 ))</f>
        <v>540</v>
      </c>
      <c r="E49" s="19">
        <f>ROUND( $E$48 + $E$8, $E$9 - LOG( $E$10 ))</f>
        <v>252</v>
      </c>
      <c r="F49" s="19">
        <f>ROUND( $F$48 + $F$8, $F$9 - LOG( $F$10 ))</f>
        <v>252</v>
      </c>
      <c r="G49" s="19">
        <f>ROUND( $G$48 + $G$8, $G$9 - LOG( $G$10 ))</f>
        <v>252</v>
      </c>
      <c r="H49" s="19">
        <f>ROUND( $H$48 + $H$8, $H$9 - LOG( $H$10 ))</f>
        <v>252</v>
      </c>
      <c r="I49" s="19">
        <f>ROUND( $I$48 + $I$8, $I$9 - LOG( $I$10 ))</f>
        <v>252</v>
      </c>
      <c r="J49" s="19">
        <f>ROUND( $J$48 + $J$8, $J$9 - LOG( $J$10 ))</f>
        <v>252</v>
      </c>
      <c r="K49" s="19">
        <f>ROUND( $K$48 + $K$8, $K$9 - LOG( $K$10 ))</f>
        <v>252</v>
      </c>
      <c r="L49" s="19">
        <f>ROUND( $L$48 + $L$8, $L$9 - LOG( $L$10 ))</f>
        <v>0</v>
      </c>
    </row>
    <row r="50" spans="2:12" outlineLevel="1" x14ac:dyDescent="0.25">
      <c r="B50" s="19">
        <f>ROUND( $B$49 + $B$8, $B$9 - LOG( $B$10 ))</f>
        <v>259</v>
      </c>
      <c r="C50" s="19">
        <f>ROUND( $C$49 + $C$8, $C$9 - LOG( $C$10 ))</f>
        <v>370</v>
      </c>
      <c r="D50" s="19">
        <f>ROUND( $D$49 + $D$8, $D$9 - LOG( $D$10 ))</f>
        <v>555</v>
      </c>
      <c r="E50" s="19">
        <f>ROUND( $E$49 + $E$8, $E$9 - LOG( $E$10 ))</f>
        <v>259</v>
      </c>
      <c r="F50" s="19">
        <f>ROUND( $F$49 + $F$8, $F$9 - LOG( $F$10 ))</f>
        <v>259</v>
      </c>
      <c r="G50" s="19">
        <f>ROUND( $G$49 + $G$8, $G$9 - LOG( $G$10 ))</f>
        <v>259</v>
      </c>
      <c r="H50" s="19">
        <f>ROUND( $H$49 + $H$8, $H$9 - LOG( $H$10 ))</f>
        <v>259</v>
      </c>
      <c r="I50" s="19">
        <f>ROUND( $I$49 + $I$8, $I$9 - LOG( $I$10 ))</f>
        <v>259</v>
      </c>
      <c r="J50" s="19">
        <f>ROUND( $J$49 + $J$8, $J$9 - LOG( $J$10 ))</f>
        <v>259</v>
      </c>
      <c r="K50" s="19">
        <f>ROUND( $K$49 + $K$8, $K$9 - LOG( $K$10 ))</f>
        <v>259</v>
      </c>
      <c r="L50" s="19">
        <f>ROUND( $L$49 + $L$8, $L$9 - LOG( $L$10 ))</f>
        <v>0</v>
      </c>
    </row>
    <row r="51" spans="2:12" outlineLevel="1" x14ac:dyDescent="0.25">
      <c r="B51" s="19">
        <f>ROUND( $B$50 + $B$8, $B$9 - LOG( $B$10 ))</f>
        <v>266</v>
      </c>
      <c r="C51" s="19">
        <f>ROUND( $C$50 + $C$8, $C$9 - LOG( $C$10 ))</f>
        <v>380</v>
      </c>
      <c r="D51" s="19">
        <f>ROUND( $D$50 + $D$8, $D$9 - LOG( $D$10 ))</f>
        <v>570</v>
      </c>
      <c r="E51" s="19">
        <f>ROUND( $E$50 + $E$8, $E$9 - LOG( $E$10 ))</f>
        <v>266</v>
      </c>
      <c r="F51" s="19">
        <f>ROUND( $F$50 + $F$8, $F$9 - LOG( $F$10 ))</f>
        <v>266</v>
      </c>
      <c r="G51" s="19">
        <f>ROUND( $G$50 + $G$8, $G$9 - LOG( $G$10 ))</f>
        <v>266</v>
      </c>
      <c r="H51" s="19">
        <f>ROUND( $H$50 + $H$8, $H$9 - LOG( $H$10 ))</f>
        <v>266</v>
      </c>
      <c r="I51" s="19">
        <f>ROUND( $I$50 + $I$8, $I$9 - LOG( $I$10 ))</f>
        <v>266</v>
      </c>
      <c r="J51" s="19">
        <f>ROUND( $J$50 + $J$8, $J$9 - LOG( $J$10 ))</f>
        <v>266</v>
      </c>
      <c r="K51" s="19">
        <f>ROUND( $K$50 + $K$8, $K$9 - LOG( $K$10 ))</f>
        <v>266</v>
      </c>
      <c r="L51" s="19">
        <f>ROUND( $L$50 + $L$8, $L$9 - LOG( $L$10 ))</f>
        <v>0</v>
      </c>
    </row>
    <row r="52" spans="2:12" outlineLevel="1" x14ac:dyDescent="0.25">
      <c r="B52" s="19">
        <f>ROUND( $B$51 + $B$8, $B$9 - LOG( $B$10 ))</f>
        <v>273</v>
      </c>
      <c r="C52" s="19">
        <f>ROUND( $C$51 + $C$8, $C$9 - LOG( $C$10 ))</f>
        <v>390</v>
      </c>
      <c r="D52" s="19">
        <f>ROUND( $D$51 + $D$8, $D$9 - LOG( $D$10 ))</f>
        <v>585</v>
      </c>
      <c r="E52" s="19">
        <f>ROUND( $E$51 + $E$8, $E$9 - LOG( $E$10 ))</f>
        <v>273</v>
      </c>
      <c r="F52" s="19">
        <f>ROUND( $F$51 + $F$8, $F$9 - LOG( $F$10 ))</f>
        <v>273</v>
      </c>
      <c r="G52" s="19">
        <f>ROUND( $G$51 + $G$8, $G$9 - LOG( $G$10 ))</f>
        <v>273</v>
      </c>
      <c r="H52" s="19">
        <f>ROUND( $H$51 + $H$8, $H$9 - LOG( $H$10 ))</f>
        <v>273</v>
      </c>
      <c r="I52" s="19">
        <f>ROUND( $I$51 + $I$8, $I$9 - LOG( $I$10 ))</f>
        <v>273</v>
      </c>
      <c r="J52" s="19">
        <f>ROUND( $J$51 + $J$8, $J$9 - LOG( $J$10 ))</f>
        <v>273</v>
      </c>
      <c r="K52" s="19">
        <f>ROUND( $K$51 + $K$8, $K$9 - LOG( $K$10 ))</f>
        <v>273</v>
      </c>
      <c r="L52" s="19">
        <f>ROUND( $L$51 + $L$8, $L$9 - LOG( $L$10 ))</f>
        <v>0</v>
      </c>
    </row>
    <row r="53" spans="2:12" outlineLevel="1" x14ac:dyDescent="0.25">
      <c r="B53" s="19">
        <f>ROUND( $B$52 + $B$8, $B$9 - LOG( $B$10 ))</f>
        <v>280</v>
      </c>
      <c r="C53" s="19">
        <f>ROUND( $C$52 + $C$8, $C$9 - LOG( $C$10 ))</f>
        <v>400</v>
      </c>
      <c r="D53" s="19">
        <f>ROUND( $D$52 + $D$8, $D$9 - LOG( $D$10 ))</f>
        <v>600</v>
      </c>
      <c r="E53" s="19">
        <f>ROUND( $E$52 + $E$8, $E$9 - LOG( $E$10 ))</f>
        <v>280</v>
      </c>
      <c r="F53" s="19">
        <f>ROUND( $F$52 + $F$8, $F$9 - LOG( $F$10 ))</f>
        <v>280</v>
      </c>
      <c r="G53" s="19">
        <f>ROUND( $G$52 + $G$8, $G$9 - LOG( $G$10 ))</f>
        <v>280</v>
      </c>
      <c r="H53" s="19">
        <f>ROUND( $H$52 + $H$8, $H$9 - LOG( $H$10 ))</f>
        <v>280</v>
      </c>
      <c r="I53" s="19">
        <f>ROUND( $I$52 + $I$8, $I$9 - LOG( $I$10 ))</f>
        <v>280</v>
      </c>
      <c r="J53" s="19">
        <f>ROUND( $J$52 + $J$8, $J$9 - LOG( $J$10 ))</f>
        <v>280</v>
      </c>
      <c r="K53" s="19">
        <f>ROUND( $K$52 + $K$8, $K$9 - LOG( $K$10 ))</f>
        <v>280</v>
      </c>
      <c r="L53" s="19">
        <f>ROUND( $L$52 + $L$8, $L$9 - LOG( $L$10 ))</f>
        <v>0</v>
      </c>
    </row>
    <row r="54" spans="2:12" outlineLevel="1" x14ac:dyDescent="0.25">
      <c r="B54" s="19">
        <f>ROUND( $B$53 + $B$8, $B$9 - LOG( $B$10 ))</f>
        <v>287</v>
      </c>
      <c r="C54" s="19">
        <f>ROUND( $C$53 + $C$8, $C$9 - LOG( $C$10 ))</f>
        <v>410</v>
      </c>
      <c r="D54" s="19">
        <f>ROUND( $D$53 + $D$8, $D$9 - LOG( $D$10 ))</f>
        <v>615</v>
      </c>
      <c r="E54" s="19">
        <f>ROUND( $E$53 + $E$8, $E$9 - LOG( $E$10 ))</f>
        <v>287</v>
      </c>
      <c r="F54" s="19">
        <f>ROUND( $F$53 + $F$8, $F$9 - LOG( $F$10 ))</f>
        <v>287</v>
      </c>
      <c r="G54" s="19">
        <f>ROUND( $G$53 + $G$8, $G$9 - LOG( $G$10 ))</f>
        <v>287</v>
      </c>
      <c r="H54" s="19">
        <f>ROUND( $H$53 + $H$8, $H$9 - LOG( $H$10 ))</f>
        <v>287</v>
      </c>
      <c r="I54" s="19">
        <f>ROUND( $I$53 + $I$8, $I$9 - LOG( $I$10 ))</f>
        <v>287</v>
      </c>
      <c r="J54" s="19">
        <f>ROUND( $J$53 + $J$8, $J$9 - LOG( $J$10 ))</f>
        <v>287</v>
      </c>
      <c r="K54" s="19">
        <f>ROUND( $K$53 + $K$8, $K$9 - LOG( $K$10 ))</f>
        <v>287</v>
      </c>
      <c r="L54" s="19">
        <f>ROUND( $L$53 + $L$8, $L$9 - LOG( $L$10 ))</f>
        <v>0</v>
      </c>
    </row>
    <row r="55" spans="2:12" outlineLevel="1" x14ac:dyDescent="0.25">
      <c r="B55" s="19">
        <f>ROUND( $B$54 + $B$8, $B$9 - LOG( $B$10 ))</f>
        <v>294</v>
      </c>
      <c r="C55" s="19">
        <f>ROUND( $C$54 + $C$8, $C$9 - LOG( $C$10 ))</f>
        <v>420</v>
      </c>
      <c r="D55" s="19">
        <f>ROUND( $D$54 + $D$8, $D$9 - LOG( $D$10 ))</f>
        <v>630</v>
      </c>
      <c r="E55" s="19">
        <f>ROUND( $E$54 + $E$8, $E$9 - LOG( $E$10 ))</f>
        <v>294</v>
      </c>
      <c r="F55" s="19">
        <f>ROUND( $F$54 + $F$8, $F$9 - LOG( $F$10 ))</f>
        <v>294</v>
      </c>
      <c r="G55" s="19">
        <f>ROUND( $G$54 + $G$8, $G$9 - LOG( $G$10 ))</f>
        <v>294</v>
      </c>
      <c r="H55" s="19">
        <f>ROUND( $H$54 + $H$8, $H$9 - LOG( $H$10 ))</f>
        <v>294</v>
      </c>
      <c r="I55" s="19">
        <f>ROUND( $I$54 + $I$8, $I$9 - LOG( $I$10 ))</f>
        <v>294</v>
      </c>
      <c r="J55" s="19">
        <f>ROUND( $J$54 + $J$8, $J$9 - LOG( $J$10 ))</f>
        <v>294</v>
      </c>
      <c r="K55" s="19">
        <f>ROUND( $K$54 + $K$8, $K$9 - LOG( $K$10 ))</f>
        <v>294</v>
      </c>
      <c r="L55" s="19">
        <f>ROUND( $L$54 + $L$8, $L$9 - LOG( $L$10 ))</f>
        <v>0</v>
      </c>
    </row>
    <row r="56" spans="2:12" outlineLevel="1" x14ac:dyDescent="0.25">
      <c r="B56" s="19">
        <f>ROUND( $B$55 + $B$8, $B$9 - LOG( $B$10 ))</f>
        <v>301</v>
      </c>
      <c r="C56" s="19">
        <f>ROUND( $C$55 + $C$8, $C$9 - LOG( $C$10 ))</f>
        <v>430</v>
      </c>
      <c r="D56" s="19">
        <f>ROUND( $D$55 + $D$8, $D$9 - LOG( $D$10 ))</f>
        <v>645</v>
      </c>
      <c r="E56" s="19">
        <f>ROUND( $E$55 + $E$8, $E$9 - LOG( $E$10 ))</f>
        <v>301</v>
      </c>
      <c r="F56" s="19">
        <f>ROUND( $F$55 + $F$8, $F$9 - LOG( $F$10 ))</f>
        <v>301</v>
      </c>
      <c r="G56" s="19">
        <f>ROUND( $G$55 + $G$8, $G$9 - LOG( $G$10 ))</f>
        <v>301</v>
      </c>
      <c r="H56" s="19">
        <f>ROUND( $H$55 + $H$8, $H$9 - LOG( $H$10 ))</f>
        <v>301</v>
      </c>
      <c r="I56" s="19">
        <f>ROUND( $I$55 + $I$8, $I$9 - LOG( $I$10 ))</f>
        <v>301</v>
      </c>
      <c r="J56" s="19">
        <f>ROUND( $J$55 + $J$8, $J$9 - LOG( $J$10 ))</f>
        <v>301</v>
      </c>
      <c r="K56" s="19">
        <f>ROUND( $K$55 + $K$8, $K$9 - LOG( $K$10 ))</f>
        <v>301</v>
      </c>
      <c r="L56" s="19">
        <f>ROUND( $L$55 + $L$8, $L$9 - LOG( $L$10 ))</f>
        <v>0</v>
      </c>
    </row>
    <row r="57" spans="2:12" outlineLevel="1" x14ac:dyDescent="0.25">
      <c r="B57" s="19">
        <f>ROUND( $B$56 + $B$8, $B$9 - LOG( $B$10 ))</f>
        <v>308</v>
      </c>
      <c r="C57" s="19">
        <f>ROUND( $C$56 + $C$8, $C$9 - LOG( $C$10 ))</f>
        <v>440</v>
      </c>
      <c r="D57" s="19">
        <f>ROUND( $D$56 + $D$8, $D$9 - LOG( $D$10 ))</f>
        <v>660</v>
      </c>
      <c r="E57" s="19">
        <f>ROUND( $E$56 + $E$8, $E$9 - LOG( $E$10 ))</f>
        <v>308</v>
      </c>
      <c r="F57" s="19">
        <f>ROUND( $F$56 + $F$8, $F$9 - LOG( $F$10 ))</f>
        <v>308</v>
      </c>
      <c r="G57" s="19">
        <f>ROUND( $G$56 + $G$8, $G$9 - LOG( $G$10 ))</f>
        <v>308</v>
      </c>
      <c r="H57" s="19">
        <f>ROUND( $H$56 + $H$8, $H$9 - LOG( $H$10 ))</f>
        <v>308</v>
      </c>
      <c r="I57" s="19">
        <f>ROUND( $I$56 + $I$8, $I$9 - LOG( $I$10 ))</f>
        <v>308</v>
      </c>
      <c r="J57" s="19">
        <f>ROUND( $J$56 + $J$8, $J$9 - LOG( $J$10 ))</f>
        <v>308</v>
      </c>
      <c r="K57" s="19">
        <f>ROUND( $K$56 + $K$8, $K$9 - LOG( $K$10 ))</f>
        <v>308</v>
      </c>
      <c r="L57" s="19">
        <f>ROUND( $L$56 + $L$8, $L$9 - LOG( $L$10 ))</f>
        <v>0</v>
      </c>
    </row>
    <row r="58" spans="2:12" outlineLevel="1" x14ac:dyDescent="0.25">
      <c r="B58" s="19">
        <f>ROUND( $B$57 + $B$8, $B$9 - LOG( $B$10 ))</f>
        <v>315</v>
      </c>
      <c r="C58" s="19">
        <f>ROUND( $C$57 + $C$8, $C$9 - LOG( $C$10 ))</f>
        <v>450</v>
      </c>
      <c r="D58" s="19">
        <f>ROUND( $D$57 + $D$8, $D$9 - LOG( $D$10 ))</f>
        <v>675</v>
      </c>
      <c r="E58" s="19">
        <f>ROUND( $E$57 + $E$8, $E$9 - LOG( $E$10 ))</f>
        <v>315</v>
      </c>
      <c r="F58" s="19">
        <f>ROUND( $F$57 + $F$8, $F$9 - LOG( $F$10 ))</f>
        <v>315</v>
      </c>
      <c r="G58" s="19">
        <f>ROUND( $G$57 + $G$8, $G$9 - LOG( $G$10 ))</f>
        <v>315</v>
      </c>
      <c r="H58" s="19">
        <f>ROUND( $H$57 + $H$8, $H$9 - LOG( $H$10 ))</f>
        <v>315</v>
      </c>
      <c r="I58" s="19">
        <f>ROUND( $I$57 + $I$8, $I$9 - LOG( $I$10 ))</f>
        <v>315</v>
      </c>
      <c r="J58" s="19">
        <f>ROUND( $J$57 + $J$8, $J$9 - LOG( $J$10 ))</f>
        <v>315</v>
      </c>
      <c r="K58" s="19">
        <f>ROUND( $K$57 + $K$8, $K$9 - LOG( $K$10 ))</f>
        <v>315</v>
      </c>
      <c r="L58" s="19">
        <f>ROUND( $L$57 + $L$8, $L$9 - LOG( $L$10 ))</f>
        <v>0</v>
      </c>
    </row>
    <row r="59" spans="2:12" outlineLevel="1" x14ac:dyDescent="0.25">
      <c r="B59" s="19">
        <f>ROUND( $B$58 + $B$8, $B$9 - LOG( $B$10 ))</f>
        <v>322</v>
      </c>
      <c r="C59" s="19">
        <f>ROUND( $C$58 + $C$8, $C$9 - LOG( $C$10 ))</f>
        <v>460</v>
      </c>
      <c r="D59" s="19">
        <f>ROUND( $D$58 + $D$8, $D$9 - LOG( $D$10 ))</f>
        <v>690</v>
      </c>
      <c r="E59" s="19">
        <f>ROUND( $E$58 + $E$8, $E$9 - LOG( $E$10 ))</f>
        <v>322</v>
      </c>
      <c r="F59" s="19">
        <f>ROUND( $F$58 + $F$8, $F$9 - LOG( $F$10 ))</f>
        <v>322</v>
      </c>
      <c r="G59" s="19">
        <f>ROUND( $G$58 + $G$8, $G$9 - LOG( $G$10 ))</f>
        <v>322</v>
      </c>
      <c r="H59" s="19">
        <f>ROUND( $H$58 + $H$8, $H$9 - LOG( $H$10 ))</f>
        <v>322</v>
      </c>
      <c r="I59" s="19">
        <f>ROUND( $I$58 + $I$8, $I$9 - LOG( $I$10 ))</f>
        <v>322</v>
      </c>
      <c r="J59" s="19">
        <f>ROUND( $J$58 + $J$8, $J$9 - LOG( $J$10 ))</f>
        <v>322</v>
      </c>
      <c r="K59" s="19">
        <f>ROUND( $K$58 + $K$8, $K$9 - LOG( $K$10 ))</f>
        <v>322</v>
      </c>
      <c r="L59" s="19">
        <f>ROUND( $L$58 + $L$8, $L$9 - LOG( $L$10 ))</f>
        <v>0</v>
      </c>
    </row>
    <row r="60" spans="2:12" outlineLevel="1" x14ac:dyDescent="0.25">
      <c r="B60" s="19">
        <f>ROUND( $B$59 + $B$8, $B$9 - LOG( $B$10 ))</f>
        <v>329</v>
      </c>
      <c r="C60" s="19">
        <f>ROUND( $C$59 + $C$8, $C$9 - LOG( $C$10 ))</f>
        <v>470</v>
      </c>
      <c r="D60" s="19">
        <f>ROUND( $D$59 + $D$8, $D$9 - LOG( $D$10 ))</f>
        <v>705</v>
      </c>
      <c r="E60" s="19">
        <f>ROUND( $E$59 + $E$8, $E$9 - LOG( $E$10 ))</f>
        <v>329</v>
      </c>
      <c r="F60" s="19">
        <f>ROUND( $F$59 + $F$8, $F$9 - LOG( $F$10 ))</f>
        <v>329</v>
      </c>
      <c r="G60" s="19">
        <f>ROUND( $G$59 + $G$8, $G$9 - LOG( $G$10 ))</f>
        <v>329</v>
      </c>
      <c r="H60" s="19">
        <f>ROUND( $H$59 + $H$8, $H$9 - LOG( $H$10 ))</f>
        <v>329</v>
      </c>
      <c r="I60" s="19">
        <f>ROUND( $I$59 + $I$8, $I$9 - LOG( $I$10 ))</f>
        <v>329</v>
      </c>
      <c r="J60" s="19">
        <f>ROUND( $J$59 + $J$8, $J$9 - LOG( $J$10 ))</f>
        <v>329</v>
      </c>
      <c r="K60" s="19">
        <f>ROUND( $K$59 + $K$8, $K$9 - LOG( $K$10 ))</f>
        <v>329</v>
      </c>
      <c r="L60" s="19">
        <f>ROUND( $L$59 + $L$8, $L$9 - LOG( $L$10 ))</f>
        <v>0</v>
      </c>
    </row>
    <row r="61" spans="2:12" outlineLevel="1" x14ac:dyDescent="0.25">
      <c r="B61" s="19">
        <f>ROUND( $B$60 + $B$8, $B$9 - LOG( $B$10 ))</f>
        <v>336</v>
      </c>
      <c r="C61" s="19">
        <f>ROUND( $C$60 + $C$8, $C$9 - LOG( $C$10 ))</f>
        <v>480</v>
      </c>
      <c r="D61" s="19">
        <f>ROUND( $D$60 + $D$8, $D$9 - LOG( $D$10 ))</f>
        <v>720</v>
      </c>
      <c r="E61" s="19">
        <f>ROUND( $E$60 + $E$8, $E$9 - LOG( $E$10 ))</f>
        <v>336</v>
      </c>
      <c r="F61" s="19">
        <f>ROUND( $F$60 + $F$8, $F$9 - LOG( $F$10 ))</f>
        <v>336</v>
      </c>
      <c r="G61" s="19">
        <f>ROUND( $G$60 + $G$8, $G$9 - LOG( $G$10 ))</f>
        <v>336</v>
      </c>
      <c r="H61" s="19">
        <f>ROUND( $H$60 + $H$8, $H$9 - LOG( $H$10 ))</f>
        <v>336</v>
      </c>
      <c r="I61" s="19">
        <f>ROUND( $I$60 + $I$8, $I$9 - LOG( $I$10 ))</f>
        <v>336</v>
      </c>
      <c r="J61" s="19">
        <f>ROUND( $J$60 + $J$8, $J$9 - LOG( $J$10 ))</f>
        <v>336</v>
      </c>
      <c r="K61" s="19">
        <f>ROUND( $K$60 + $K$8, $K$9 - LOG( $K$10 ))</f>
        <v>336</v>
      </c>
      <c r="L61" s="19">
        <f>ROUND( $L$60 + $L$8, $L$9 - LOG( $L$10 ))</f>
        <v>0</v>
      </c>
    </row>
    <row r="62" spans="2:12" outlineLevel="1" x14ac:dyDescent="0.25">
      <c r="B62" s="19">
        <f>ROUND( $B$61 + $B$8, $B$9 - LOG( $B$10 ))</f>
        <v>343</v>
      </c>
      <c r="C62" s="19">
        <f>ROUND( $C$61 + $C$8, $C$9 - LOG( $C$10 ))</f>
        <v>490</v>
      </c>
      <c r="D62" s="19">
        <f>ROUND( $D$61 + $D$8, $D$9 - LOG( $D$10 ))</f>
        <v>735</v>
      </c>
      <c r="E62" s="19">
        <f>ROUND( $E$61 + $E$8, $E$9 - LOG( $E$10 ))</f>
        <v>343</v>
      </c>
      <c r="F62" s="19">
        <f>ROUND( $F$61 + $F$8, $F$9 - LOG( $F$10 ))</f>
        <v>343</v>
      </c>
      <c r="G62" s="19">
        <f>ROUND( $G$61 + $G$8, $G$9 - LOG( $G$10 ))</f>
        <v>343</v>
      </c>
      <c r="H62" s="19">
        <f>ROUND( $H$61 + $H$8, $H$9 - LOG( $H$10 ))</f>
        <v>343</v>
      </c>
      <c r="I62" s="19">
        <f>ROUND( $I$61 + $I$8, $I$9 - LOG( $I$10 ))</f>
        <v>343</v>
      </c>
      <c r="J62" s="19">
        <f>ROUND( $J$61 + $J$8, $J$9 - LOG( $J$10 ))</f>
        <v>343</v>
      </c>
      <c r="K62" s="19">
        <f>ROUND( $K$61 + $K$8, $K$9 - LOG( $K$10 ))</f>
        <v>343</v>
      </c>
      <c r="L62" s="19">
        <f>ROUND( $L$61 + $L$8, $L$9 - LOG( $L$10 ))</f>
        <v>0</v>
      </c>
    </row>
    <row r="63" spans="2:12" outlineLevel="1" x14ac:dyDescent="0.25">
      <c r="B63" s="19">
        <f>ROUND( $B$62 + $B$8, $B$9 - LOG( $B$10 ))</f>
        <v>350</v>
      </c>
      <c r="C63" s="19">
        <f>ROUND( $C$62 + $C$8, $C$9 - LOG( $C$10 ))</f>
        <v>500</v>
      </c>
      <c r="D63" s="19">
        <f>ROUND( $D$62 + $D$8, $D$9 - LOG( $D$10 ))</f>
        <v>750</v>
      </c>
      <c r="E63" s="19">
        <f>ROUND( $E$62 + $E$8, $E$9 - LOG( $E$10 ))</f>
        <v>350</v>
      </c>
      <c r="F63" s="19">
        <f>ROUND( $F$62 + $F$8, $F$9 - LOG( $F$10 ))</f>
        <v>350</v>
      </c>
      <c r="G63" s="19">
        <f>ROUND( $G$62 + $G$8, $G$9 - LOG( $G$10 ))</f>
        <v>350</v>
      </c>
      <c r="H63" s="19">
        <f>ROUND( $H$62 + $H$8, $H$9 - LOG( $H$10 ))</f>
        <v>350</v>
      </c>
      <c r="I63" s="19">
        <f>ROUND( $I$62 + $I$8, $I$9 - LOG( $I$10 ))</f>
        <v>350</v>
      </c>
      <c r="J63" s="19">
        <f>ROUND( $J$62 + $J$8, $J$9 - LOG( $J$10 ))</f>
        <v>350</v>
      </c>
      <c r="K63" s="19">
        <f>ROUND( $K$62 + $K$8, $K$9 - LOG( $K$10 ))</f>
        <v>350</v>
      </c>
      <c r="L63" s="19">
        <f>ROUND( $L$62 + $L$8, $L$9 - LOG( $L$10 ))</f>
        <v>0</v>
      </c>
    </row>
    <row r="64" spans="2:12" outlineLevel="1" x14ac:dyDescent="0.25">
      <c r="B64" s="19">
        <f>ROUND( $B$63 + $B$8, $B$9 - LOG( $B$10 ))</f>
        <v>357</v>
      </c>
      <c r="C64" s="19">
        <f>ROUND( $C$63 + $C$8, $C$9 - LOG( $C$10 ))</f>
        <v>510</v>
      </c>
      <c r="D64" s="19">
        <f>ROUND( $D$63 + $D$8, $D$9 - LOG( $D$10 ))</f>
        <v>765</v>
      </c>
      <c r="E64" s="19">
        <f>ROUND( $E$63 + $E$8, $E$9 - LOG( $E$10 ))</f>
        <v>357</v>
      </c>
      <c r="F64" s="19">
        <f>ROUND( $F$63 + $F$8, $F$9 - LOG( $F$10 ))</f>
        <v>357</v>
      </c>
      <c r="G64" s="19">
        <f>ROUND( $G$63 + $G$8, $G$9 - LOG( $G$10 ))</f>
        <v>357</v>
      </c>
      <c r="H64" s="19">
        <f>ROUND( $H$63 + $H$8, $H$9 - LOG( $H$10 ))</f>
        <v>357</v>
      </c>
      <c r="I64" s="19">
        <f>ROUND( $I$63 + $I$8, $I$9 - LOG( $I$10 ))</f>
        <v>357</v>
      </c>
      <c r="J64" s="19">
        <f>ROUND( $J$63 + $J$8, $J$9 - LOG( $J$10 ))</f>
        <v>357</v>
      </c>
      <c r="K64" s="19">
        <f>ROUND( $K$63 + $K$8, $K$9 - LOG( $K$10 ))</f>
        <v>357</v>
      </c>
      <c r="L64" s="19">
        <f>ROUND( $L$63 + $L$8, $L$9 - LOG( $L$10 ))</f>
        <v>0</v>
      </c>
    </row>
    <row r="65" spans="2:12" outlineLevel="1" x14ac:dyDescent="0.25">
      <c r="B65" s="19">
        <f>ROUND( $B$64 + $B$8, $B$9 - LOG( $B$10 ))</f>
        <v>364</v>
      </c>
      <c r="C65" s="19">
        <f>ROUND( $C$64 + $C$8, $C$9 - LOG( $C$10 ))</f>
        <v>520</v>
      </c>
      <c r="D65" s="19">
        <f>ROUND( $D$64 + $D$8, $D$9 - LOG( $D$10 ))</f>
        <v>780</v>
      </c>
      <c r="E65" s="19">
        <f>ROUND( $E$64 + $E$8, $E$9 - LOG( $E$10 ))</f>
        <v>364</v>
      </c>
      <c r="F65" s="19">
        <f>ROUND( $F$64 + $F$8, $F$9 - LOG( $F$10 ))</f>
        <v>364</v>
      </c>
      <c r="G65" s="19">
        <f>ROUND( $G$64 + $G$8, $G$9 - LOG( $G$10 ))</f>
        <v>364</v>
      </c>
      <c r="H65" s="19">
        <f>ROUND( $H$64 + $H$8, $H$9 - LOG( $H$10 ))</f>
        <v>364</v>
      </c>
      <c r="I65" s="19">
        <f>ROUND( $I$64 + $I$8, $I$9 - LOG( $I$10 ))</f>
        <v>364</v>
      </c>
      <c r="J65" s="19">
        <f>ROUND( $J$64 + $J$8, $J$9 - LOG( $J$10 ))</f>
        <v>364</v>
      </c>
      <c r="K65" s="19">
        <f>ROUND( $K$64 + $K$8, $K$9 - LOG( $K$10 ))</f>
        <v>364</v>
      </c>
      <c r="L65" s="19">
        <f>ROUND( $L$64 + $L$8, $L$9 - LOG( $L$10 ))</f>
        <v>0</v>
      </c>
    </row>
    <row r="66" spans="2:12" outlineLevel="1" x14ac:dyDescent="0.25">
      <c r="B66" s="19">
        <f>ROUND( $B$65 + $B$8, $B$9 - LOG( $B$10 ))</f>
        <v>371</v>
      </c>
      <c r="C66" s="19">
        <f>ROUND( $C$65 + $C$8, $C$9 - LOG( $C$10 ))</f>
        <v>530</v>
      </c>
      <c r="D66" s="19">
        <f>ROUND( $D$65 + $D$8, $D$9 - LOG( $D$10 ))</f>
        <v>795</v>
      </c>
      <c r="E66" s="19">
        <f>ROUND( $E$65 + $E$8, $E$9 - LOG( $E$10 ))</f>
        <v>371</v>
      </c>
      <c r="F66" s="19">
        <f>ROUND( $F$65 + $F$8, $F$9 - LOG( $F$10 ))</f>
        <v>371</v>
      </c>
      <c r="G66" s="19">
        <f>ROUND( $G$65 + $G$8, $G$9 - LOG( $G$10 ))</f>
        <v>371</v>
      </c>
      <c r="H66" s="19">
        <f>ROUND( $H$65 + $H$8, $H$9 - LOG( $H$10 ))</f>
        <v>371</v>
      </c>
      <c r="I66" s="19">
        <f>ROUND( $I$65 + $I$8, $I$9 - LOG( $I$10 ))</f>
        <v>371</v>
      </c>
      <c r="J66" s="19">
        <f>ROUND( $J$65 + $J$8, $J$9 - LOG( $J$10 ))</f>
        <v>371</v>
      </c>
      <c r="K66" s="19">
        <f>ROUND( $K$65 + $K$8, $K$9 - LOG( $K$10 ))</f>
        <v>371</v>
      </c>
      <c r="L66" s="19">
        <f>ROUND( $L$65 + $L$8, $L$9 - LOG( $L$10 ))</f>
        <v>0</v>
      </c>
    </row>
    <row r="67" spans="2:12" outlineLevel="1" x14ac:dyDescent="0.25">
      <c r="B67" s="19">
        <f>ROUND( $B$66 + $B$8, $B$9 - LOG( $B$10 ))</f>
        <v>378</v>
      </c>
      <c r="C67" s="19">
        <f>ROUND( $C$66 + $C$8, $C$9 - LOG( $C$10 ))</f>
        <v>540</v>
      </c>
      <c r="D67" s="19">
        <f>ROUND( $D$66 + $D$8, $D$9 - LOG( $D$10 ))</f>
        <v>810</v>
      </c>
      <c r="E67" s="19">
        <f>ROUND( $E$66 + $E$8, $E$9 - LOG( $E$10 ))</f>
        <v>378</v>
      </c>
      <c r="F67" s="19">
        <f>ROUND( $F$66 + $F$8, $F$9 - LOG( $F$10 ))</f>
        <v>378</v>
      </c>
      <c r="G67" s="19">
        <f>ROUND( $G$66 + $G$8, $G$9 - LOG( $G$10 ))</f>
        <v>378</v>
      </c>
      <c r="H67" s="19">
        <f>ROUND( $H$66 + $H$8, $H$9 - LOG( $H$10 ))</f>
        <v>378</v>
      </c>
      <c r="I67" s="19">
        <f>ROUND( $I$66 + $I$8, $I$9 - LOG( $I$10 ))</f>
        <v>378</v>
      </c>
      <c r="J67" s="19">
        <f>ROUND( $J$66 + $J$8, $J$9 - LOG( $J$10 ))</f>
        <v>378</v>
      </c>
      <c r="K67" s="19">
        <f>ROUND( $K$66 + $K$8, $K$9 - LOG( $K$10 ))</f>
        <v>378</v>
      </c>
      <c r="L67" s="19">
        <f>ROUND( $L$66 + $L$8, $L$9 - LOG( $L$10 ))</f>
        <v>0</v>
      </c>
    </row>
    <row r="68" spans="2:12" outlineLevel="1" x14ac:dyDescent="0.25">
      <c r="B68" s="19">
        <f>ROUND( $B$67 + $B$8, $B$9 - LOG( $B$10 ))</f>
        <v>385</v>
      </c>
      <c r="C68" s="19">
        <f>ROUND( $C$67 + $C$8, $C$9 - LOG( $C$10 ))</f>
        <v>550</v>
      </c>
      <c r="D68" s="19">
        <f>ROUND( $D$67 + $D$8, $D$9 - LOG( $D$10 ))</f>
        <v>825</v>
      </c>
      <c r="E68" s="19">
        <f>ROUND( $E$67 + $E$8, $E$9 - LOG( $E$10 ))</f>
        <v>385</v>
      </c>
      <c r="F68" s="19">
        <f>ROUND( $F$67 + $F$8, $F$9 - LOG( $F$10 ))</f>
        <v>385</v>
      </c>
      <c r="G68" s="19">
        <f>ROUND( $G$67 + $G$8, $G$9 - LOG( $G$10 ))</f>
        <v>385</v>
      </c>
      <c r="H68" s="19">
        <f>ROUND( $H$67 + $H$8, $H$9 - LOG( $H$10 ))</f>
        <v>385</v>
      </c>
      <c r="I68" s="19">
        <f>ROUND( $I$67 + $I$8, $I$9 - LOG( $I$10 ))</f>
        <v>385</v>
      </c>
      <c r="J68" s="19">
        <f>ROUND( $J$67 + $J$8, $J$9 - LOG( $J$10 ))</f>
        <v>385</v>
      </c>
      <c r="K68" s="19">
        <f>ROUND( $K$67 + $K$8, $K$9 - LOG( $K$10 ))</f>
        <v>385</v>
      </c>
      <c r="L68" s="19">
        <f>ROUND( $L$67 + $L$8, $L$9 - LOG( $L$10 ))</f>
        <v>0</v>
      </c>
    </row>
    <row r="69" spans="2:12" outlineLevel="1" x14ac:dyDescent="0.25">
      <c r="B69" s="19">
        <f>ROUND( $B$68 + $B$8, $B$9 - LOG( $B$10 ))</f>
        <v>392</v>
      </c>
      <c r="C69" s="19">
        <f>ROUND( $C$68 + $C$8, $C$9 - LOG( $C$10 ))</f>
        <v>560</v>
      </c>
      <c r="D69" s="19">
        <f>ROUND( $D$68 + $D$8, $D$9 - LOG( $D$10 ))</f>
        <v>840</v>
      </c>
      <c r="E69" s="19">
        <f>ROUND( $E$68 + $E$8, $E$9 - LOG( $E$10 ))</f>
        <v>392</v>
      </c>
      <c r="F69" s="19">
        <f>ROUND( $F$68 + $F$8, $F$9 - LOG( $F$10 ))</f>
        <v>392</v>
      </c>
      <c r="G69" s="19">
        <f>ROUND( $G$68 + $G$8, $G$9 - LOG( $G$10 ))</f>
        <v>392</v>
      </c>
      <c r="H69" s="19">
        <f>ROUND( $H$68 + $H$8, $H$9 - LOG( $H$10 ))</f>
        <v>392</v>
      </c>
      <c r="I69" s="19">
        <f>ROUND( $I$68 + $I$8, $I$9 - LOG( $I$10 ))</f>
        <v>392</v>
      </c>
      <c r="J69" s="19">
        <f>ROUND( $J$68 + $J$8, $J$9 - LOG( $J$10 ))</f>
        <v>392</v>
      </c>
      <c r="K69" s="19">
        <f>ROUND( $K$68 + $K$8, $K$9 - LOG( $K$10 ))</f>
        <v>392</v>
      </c>
      <c r="L69" s="19">
        <f>ROUND( $L$68 + $L$8, $L$9 - LOG( $L$10 ))</f>
        <v>0</v>
      </c>
    </row>
    <row r="70" spans="2:12" outlineLevel="1" x14ac:dyDescent="0.25">
      <c r="B70" s="19">
        <f>ROUND( $B$69 + $B$8, $B$9 - LOG( $B$10 ))</f>
        <v>399</v>
      </c>
      <c r="C70" s="19">
        <f>ROUND( $C$69 + $C$8, $C$9 - LOG( $C$10 ))</f>
        <v>570</v>
      </c>
      <c r="D70" s="19">
        <f>ROUND( $D$69 + $D$8, $D$9 - LOG( $D$10 ))</f>
        <v>855</v>
      </c>
      <c r="E70" s="19">
        <f>ROUND( $E$69 + $E$8, $E$9 - LOG( $E$10 ))</f>
        <v>399</v>
      </c>
      <c r="F70" s="19">
        <f>ROUND( $F$69 + $F$8, $F$9 - LOG( $F$10 ))</f>
        <v>399</v>
      </c>
      <c r="G70" s="19">
        <f>ROUND( $G$69 + $G$8, $G$9 - LOG( $G$10 ))</f>
        <v>399</v>
      </c>
      <c r="H70" s="19">
        <f>ROUND( $H$69 + $H$8, $H$9 - LOG( $H$10 ))</f>
        <v>399</v>
      </c>
      <c r="I70" s="19">
        <f>ROUND( $I$69 + $I$8, $I$9 - LOG( $I$10 ))</f>
        <v>399</v>
      </c>
      <c r="J70" s="19">
        <f>ROUND( $J$69 + $J$8, $J$9 - LOG( $J$10 ))</f>
        <v>399</v>
      </c>
      <c r="K70" s="19">
        <f>ROUND( $K$69 + $K$8, $K$9 - LOG( $K$10 ))</f>
        <v>399</v>
      </c>
      <c r="L70" s="19">
        <f>ROUND( $L$69 + $L$8, $L$9 - LOG( $L$10 ))</f>
        <v>0</v>
      </c>
    </row>
    <row r="71" spans="2:12" outlineLevel="1" x14ac:dyDescent="0.25">
      <c r="B71" s="19">
        <f>ROUND( $B$70 + $B$8, $B$9 - LOG( $B$10 ))</f>
        <v>406</v>
      </c>
      <c r="C71" s="19">
        <f>ROUND( $C$70 + $C$8, $C$9 - LOG( $C$10 ))</f>
        <v>580</v>
      </c>
      <c r="D71" s="19">
        <f>ROUND( $D$70 + $D$8, $D$9 - LOG( $D$10 ))</f>
        <v>870</v>
      </c>
      <c r="E71" s="19">
        <f>ROUND( $E$70 + $E$8, $E$9 - LOG( $E$10 ))</f>
        <v>406</v>
      </c>
      <c r="F71" s="19">
        <f>ROUND( $F$70 + $F$8, $F$9 - LOG( $F$10 ))</f>
        <v>406</v>
      </c>
      <c r="G71" s="19">
        <f>ROUND( $G$70 + $G$8, $G$9 - LOG( $G$10 ))</f>
        <v>406</v>
      </c>
      <c r="H71" s="19">
        <f>ROUND( $H$70 + $H$8, $H$9 - LOG( $H$10 ))</f>
        <v>406</v>
      </c>
      <c r="I71" s="19">
        <f>ROUND( $I$70 + $I$8, $I$9 - LOG( $I$10 ))</f>
        <v>406</v>
      </c>
      <c r="J71" s="19">
        <f>ROUND( $J$70 + $J$8, $J$9 - LOG( $J$10 ))</f>
        <v>406</v>
      </c>
      <c r="K71" s="19">
        <f>ROUND( $K$70 + $K$8, $K$9 - LOG( $K$10 ))</f>
        <v>406</v>
      </c>
      <c r="L71" s="19">
        <f>ROUND( $L$70 + $L$8, $L$9 - LOG( $L$10 ))</f>
        <v>0</v>
      </c>
    </row>
    <row r="72" spans="2:12" outlineLevel="1" x14ac:dyDescent="0.25">
      <c r="B72" s="19">
        <f>ROUND( $B$71 + $B$8, $B$9 - LOG( $B$10 ))</f>
        <v>413</v>
      </c>
      <c r="C72" s="19">
        <f>ROUND( $C$71 + $C$8, $C$9 - LOG( $C$10 ))</f>
        <v>590</v>
      </c>
      <c r="D72" s="19">
        <f>ROUND( $D$71 + $D$8, $D$9 - LOG( $D$10 ))</f>
        <v>885</v>
      </c>
      <c r="E72" s="19">
        <f>ROUND( $E$71 + $E$8, $E$9 - LOG( $E$10 ))</f>
        <v>413</v>
      </c>
      <c r="F72" s="19">
        <f>ROUND( $F$71 + $F$8, $F$9 - LOG( $F$10 ))</f>
        <v>413</v>
      </c>
      <c r="G72" s="19">
        <f>ROUND( $G$71 + $G$8, $G$9 - LOG( $G$10 ))</f>
        <v>413</v>
      </c>
      <c r="H72" s="19">
        <f>ROUND( $H$71 + $H$8, $H$9 - LOG( $H$10 ))</f>
        <v>413</v>
      </c>
      <c r="I72" s="19">
        <f>ROUND( $I$71 + $I$8, $I$9 - LOG( $I$10 ))</f>
        <v>413</v>
      </c>
      <c r="J72" s="19">
        <f>ROUND( $J$71 + $J$8, $J$9 - LOG( $J$10 ))</f>
        <v>413</v>
      </c>
      <c r="K72" s="19">
        <f>ROUND( $K$71 + $K$8, $K$9 - LOG( $K$10 ))</f>
        <v>413</v>
      </c>
      <c r="L72" s="19">
        <f>ROUND( $L$71 + $L$8, $L$9 - LOG( $L$10 ))</f>
        <v>0</v>
      </c>
    </row>
    <row r="73" spans="2:12" outlineLevel="1" x14ac:dyDescent="0.25">
      <c r="B73" s="19">
        <f>ROUND( $B$72 + $B$8, $B$9 - LOG( $B$10 ))</f>
        <v>420</v>
      </c>
      <c r="C73" s="19">
        <f>ROUND( $C$72 + $C$8, $C$9 - LOG( $C$10 ))</f>
        <v>600</v>
      </c>
      <c r="D73" s="19">
        <f>ROUND( $D$72 + $D$8, $D$9 - LOG( $D$10 ))</f>
        <v>900</v>
      </c>
      <c r="E73" s="19">
        <f>ROUND( $E$72 + $E$8, $E$9 - LOG( $E$10 ))</f>
        <v>420</v>
      </c>
      <c r="F73" s="19">
        <f>ROUND( $F$72 + $F$8, $F$9 - LOG( $F$10 ))</f>
        <v>420</v>
      </c>
      <c r="G73" s="19">
        <f>ROUND( $G$72 + $G$8, $G$9 - LOG( $G$10 ))</f>
        <v>420</v>
      </c>
      <c r="H73" s="19">
        <f>ROUND( $H$72 + $H$8, $H$9 - LOG( $H$10 ))</f>
        <v>420</v>
      </c>
      <c r="I73" s="19">
        <f>ROUND( $I$72 + $I$8, $I$9 - LOG( $I$10 ))</f>
        <v>420</v>
      </c>
      <c r="J73" s="19">
        <f>ROUND( $J$72 + $J$8, $J$9 - LOG( $J$10 ))</f>
        <v>420</v>
      </c>
      <c r="K73" s="19">
        <f>ROUND( $K$72 + $K$8, $K$9 - LOG( $K$10 ))</f>
        <v>420</v>
      </c>
      <c r="L73" s="19">
        <f>ROUND( $L$72 + $L$8, $L$9 - LOG( $L$10 ))</f>
        <v>0</v>
      </c>
    </row>
    <row r="74" spans="2:12" outlineLevel="1" x14ac:dyDescent="0.25">
      <c r="B74" s="19">
        <f>ROUND( $B$73 + $B$8, $B$9 - LOG( $B$10 ))</f>
        <v>427</v>
      </c>
      <c r="C74" s="19">
        <f>ROUND( $C$73 + $C$8, $C$9 - LOG( $C$10 ))</f>
        <v>610</v>
      </c>
      <c r="D74" s="19">
        <f>ROUND( $D$73 + $D$8, $D$9 - LOG( $D$10 ))</f>
        <v>915</v>
      </c>
      <c r="E74" s="19">
        <f>ROUND( $E$73 + $E$8, $E$9 - LOG( $E$10 ))</f>
        <v>427</v>
      </c>
      <c r="F74" s="19">
        <f>ROUND( $F$73 + $F$8, $F$9 - LOG( $F$10 ))</f>
        <v>427</v>
      </c>
      <c r="G74" s="19">
        <f>ROUND( $G$73 + $G$8, $G$9 - LOG( $G$10 ))</f>
        <v>427</v>
      </c>
      <c r="H74" s="19">
        <f>ROUND( $H$73 + $H$8, $H$9 - LOG( $H$10 ))</f>
        <v>427</v>
      </c>
      <c r="I74" s="19">
        <f>ROUND( $I$73 + $I$8, $I$9 - LOG( $I$10 ))</f>
        <v>427</v>
      </c>
      <c r="J74" s="19">
        <f>ROUND( $J$73 + $J$8, $J$9 - LOG( $J$10 ))</f>
        <v>427</v>
      </c>
      <c r="K74" s="19">
        <f>ROUND( $K$73 + $K$8, $K$9 - LOG( $K$10 ))</f>
        <v>427</v>
      </c>
      <c r="L74" s="19">
        <f>ROUND( $L$73 + $L$8, $L$9 - LOG( $L$10 ))</f>
        <v>0</v>
      </c>
    </row>
    <row r="75" spans="2:12" outlineLevel="1" x14ac:dyDescent="0.25">
      <c r="B75" s="19">
        <f>ROUND( $B$74 + $B$8, $B$9 - LOG( $B$10 ))</f>
        <v>434</v>
      </c>
      <c r="C75" s="19">
        <f>ROUND( $C$74 + $C$8, $C$9 - LOG( $C$10 ))</f>
        <v>620</v>
      </c>
      <c r="D75" s="19">
        <f>ROUND( $D$74 + $D$8, $D$9 - LOG( $D$10 ))</f>
        <v>930</v>
      </c>
      <c r="E75" s="19">
        <f>ROUND( $E$74 + $E$8, $E$9 - LOG( $E$10 ))</f>
        <v>434</v>
      </c>
      <c r="F75" s="19">
        <f>ROUND( $F$74 + $F$8, $F$9 - LOG( $F$10 ))</f>
        <v>434</v>
      </c>
      <c r="G75" s="19">
        <f>ROUND( $G$74 + $G$8, $G$9 - LOG( $G$10 ))</f>
        <v>434</v>
      </c>
      <c r="H75" s="19">
        <f>ROUND( $H$74 + $H$8, $H$9 - LOG( $H$10 ))</f>
        <v>434</v>
      </c>
      <c r="I75" s="19">
        <f>ROUND( $I$74 + $I$8, $I$9 - LOG( $I$10 ))</f>
        <v>434</v>
      </c>
      <c r="J75" s="19">
        <f>ROUND( $J$74 + $J$8, $J$9 - LOG( $J$10 ))</f>
        <v>434</v>
      </c>
      <c r="K75" s="19">
        <f>ROUND( $K$74 + $K$8, $K$9 - LOG( $K$10 ))</f>
        <v>434</v>
      </c>
      <c r="L75" s="19">
        <f>ROUND( $L$74 + $L$8, $L$9 - LOG( $L$10 ))</f>
        <v>0</v>
      </c>
    </row>
    <row r="76" spans="2:12" outlineLevel="1" x14ac:dyDescent="0.25">
      <c r="B76" s="19">
        <f>ROUND( $B$75 + $B$8, $B$9 - LOG( $B$10 ))</f>
        <v>441</v>
      </c>
      <c r="C76" s="19">
        <f>ROUND( $C$75 + $C$8, $C$9 - LOG( $C$10 ))</f>
        <v>630</v>
      </c>
      <c r="D76" s="19">
        <f>ROUND( $D$75 + $D$8, $D$9 - LOG( $D$10 ))</f>
        <v>945</v>
      </c>
      <c r="E76" s="19">
        <f>ROUND( $E$75 + $E$8, $E$9 - LOG( $E$10 ))</f>
        <v>441</v>
      </c>
      <c r="F76" s="19">
        <f>ROUND( $F$75 + $F$8, $F$9 - LOG( $F$10 ))</f>
        <v>441</v>
      </c>
      <c r="G76" s="19">
        <f>ROUND( $G$75 + $G$8, $G$9 - LOG( $G$10 ))</f>
        <v>441</v>
      </c>
      <c r="H76" s="19">
        <f>ROUND( $H$75 + $H$8, $H$9 - LOG( $H$10 ))</f>
        <v>441</v>
      </c>
      <c r="I76" s="19">
        <f>ROUND( $I$75 + $I$8, $I$9 - LOG( $I$10 ))</f>
        <v>441</v>
      </c>
      <c r="J76" s="19">
        <f>ROUND( $J$75 + $J$8, $J$9 - LOG( $J$10 ))</f>
        <v>441</v>
      </c>
      <c r="K76" s="19">
        <f>ROUND( $K$75 + $K$8, $K$9 - LOG( $K$10 ))</f>
        <v>441</v>
      </c>
      <c r="L76" s="19">
        <f>ROUND( $L$75 + $L$8, $L$9 - LOG( $L$10 ))</f>
        <v>0</v>
      </c>
    </row>
    <row r="77" spans="2:12" outlineLevel="1" x14ac:dyDescent="0.25">
      <c r="B77" s="19">
        <f>ROUND( $B$76 + $B$8, $B$9 - LOG( $B$10 ))</f>
        <v>448</v>
      </c>
      <c r="C77" s="19">
        <f>ROUND( $C$76 + $C$8, $C$9 - LOG( $C$10 ))</f>
        <v>640</v>
      </c>
      <c r="D77" s="19">
        <f>ROUND( $D$76 + $D$8, $D$9 - LOG( $D$10 ))</f>
        <v>960</v>
      </c>
      <c r="E77" s="19">
        <f>ROUND( $E$76 + $E$8, $E$9 - LOG( $E$10 ))</f>
        <v>448</v>
      </c>
      <c r="F77" s="19">
        <f>ROUND( $F$76 + $F$8, $F$9 - LOG( $F$10 ))</f>
        <v>448</v>
      </c>
      <c r="G77" s="19">
        <f>ROUND( $G$76 + $G$8, $G$9 - LOG( $G$10 ))</f>
        <v>448</v>
      </c>
      <c r="H77" s="19">
        <f>ROUND( $H$76 + $H$8, $H$9 - LOG( $H$10 ))</f>
        <v>448</v>
      </c>
      <c r="I77" s="19">
        <f>ROUND( $I$76 + $I$8, $I$9 - LOG( $I$10 ))</f>
        <v>448</v>
      </c>
      <c r="J77" s="19">
        <f>ROUND( $J$76 + $J$8, $J$9 - LOG( $J$10 ))</f>
        <v>448</v>
      </c>
      <c r="K77" s="19">
        <f>ROUND( $K$76 + $K$8, $K$9 - LOG( $K$10 ))</f>
        <v>448</v>
      </c>
      <c r="L77" s="19">
        <f>ROUND( $L$76 + $L$8, $L$9 - LOG( $L$10 ))</f>
        <v>0</v>
      </c>
    </row>
    <row r="78" spans="2:12" outlineLevel="1" x14ac:dyDescent="0.25">
      <c r="B78" s="19">
        <f>ROUND( $B$77 + $B$8, $B$9 - LOG( $B$10 ))</f>
        <v>455</v>
      </c>
      <c r="C78" s="19">
        <f>ROUND( $C$77 + $C$8, $C$9 - LOG( $C$10 ))</f>
        <v>650</v>
      </c>
      <c r="D78" s="19">
        <f>ROUND( $D$77 + $D$8, $D$9 - LOG( $D$10 ))</f>
        <v>975</v>
      </c>
      <c r="E78" s="19">
        <f>ROUND( $E$77 + $E$8, $E$9 - LOG( $E$10 ))</f>
        <v>455</v>
      </c>
      <c r="F78" s="19">
        <f>ROUND( $F$77 + $F$8, $F$9 - LOG( $F$10 ))</f>
        <v>455</v>
      </c>
      <c r="G78" s="19">
        <f>ROUND( $G$77 + $G$8, $G$9 - LOG( $G$10 ))</f>
        <v>455</v>
      </c>
      <c r="H78" s="19">
        <f>ROUND( $H$77 + $H$8, $H$9 - LOG( $H$10 ))</f>
        <v>455</v>
      </c>
      <c r="I78" s="19">
        <f>ROUND( $I$77 + $I$8, $I$9 - LOG( $I$10 ))</f>
        <v>455</v>
      </c>
      <c r="J78" s="19">
        <f>ROUND( $J$77 + $J$8, $J$9 - LOG( $J$10 ))</f>
        <v>455</v>
      </c>
      <c r="K78" s="19">
        <f>ROUND( $K$77 + $K$8, $K$9 - LOG( $K$10 ))</f>
        <v>455</v>
      </c>
      <c r="L78" s="19">
        <f>ROUND( $L$77 + $L$8, $L$9 - LOG( $L$10 ))</f>
        <v>0</v>
      </c>
    </row>
    <row r="79" spans="2:12" outlineLevel="1" x14ac:dyDescent="0.25">
      <c r="B79" s="19">
        <f>ROUND( $B$78 + $B$8, $B$9 - LOG( $B$10 ))</f>
        <v>462</v>
      </c>
      <c r="C79" s="19">
        <f>ROUND( $C$78 + $C$8, $C$9 - LOG( $C$10 ))</f>
        <v>660</v>
      </c>
      <c r="D79" s="19">
        <f>ROUND( $D$78 + $D$8, $D$9 - LOG( $D$10 ))</f>
        <v>990</v>
      </c>
      <c r="E79" s="19">
        <f>ROUND( $E$78 + $E$8, $E$9 - LOG( $E$10 ))</f>
        <v>462</v>
      </c>
      <c r="F79" s="19">
        <f>ROUND( $F$78 + $F$8, $F$9 - LOG( $F$10 ))</f>
        <v>462</v>
      </c>
      <c r="G79" s="19">
        <f>ROUND( $G$78 + $G$8, $G$9 - LOG( $G$10 ))</f>
        <v>462</v>
      </c>
      <c r="H79" s="19">
        <f>ROUND( $H$78 + $H$8, $H$9 - LOG( $H$10 ))</f>
        <v>462</v>
      </c>
      <c r="I79" s="19">
        <f>ROUND( $I$78 + $I$8, $I$9 - LOG( $I$10 ))</f>
        <v>462</v>
      </c>
      <c r="J79" s="19">
        <f>ROUND( $J$78 + $J$8, $J$9 - LOG( $J$10 ))</f>
        <v>462</v>
      </c>
      <c r="K79" s="19">
        <f>ROUND( $K$78 + $K$8, $K$9 - LOG( $K$10 ))</f>
        <v>462</v>
      </c>
      <c r="L79" s="19">
        <f>ROUND( $L$78 + $L$8, $L$9 - LOG( $L$10 ))</f>
        <v>0</v>
      </c>
    </row>
    <row r="80" spans="2:12" outlineLevel="1" x14ac:dyDescent="0.25">
      <c r="B80" s="19">
        <f>ROUND( $B$79 + $B$8, $B$9 - LOG( $B$10 ))</f>
        <v>469</v>
      </c>
      <c r="C80" s="19">
        <f>ROUND( $C$79 + $C$8, $C$9 - LOG( $C$10 ))</f>
        <v>670</v>
      </c>
      <c r="D80" s="19">
        <f>ROUND( $D$79 + $D$8, $D$9 - LOG( $D$10 ))</f>
        <v>1005</v>
      </c>
      <c r="E80" s="19">
        <f>ROUND( $E$79 + $E$8, $E$9 - LOG( $E$10 ))</f>
        <v>469</v>
      </c>
      <c r="F80" s="19">
        <f>ROUND( $F$79 + $F$8, $F$9 - LOG( $F$10 ))</f>
        <v>469</v>
      </c>
      <c r="G80" s="19">
        <f>ROUND( $G$79 + $G$8, $G$9 - LOG( $G$10 ))</f>
        <v>469</v>
      </c>
      <c r="H80" s="19">
        <f>ROUND( $H$79 + $H$8, $H$9 - LOG( $H$10 ))</f>
        <v>469</v>
      </c>
      <c r="I80" s="19">
        <f>ROUND( $I$79 + $I$8, $I$9 - LOG( $I$10 ))</f>
        <v>469</v>
      </c>
      <c r="J80" s="19">
        <f>ROUND( $J$79 + $J$8, $J$9 - LOG( $J$10 ))</f>
        <v>469</v>
      </c>
      <c r="K80" s="19">
        <f>ROUND( $K$79 + $K$8, $K$9 - LOG( $K$10 ))</f>
        <v>469</v>
      </c>
      <c r="L80" s="19">
        <f>ROUND( $L$79 + $L$8, $L$9 - LOG( $L$10 ))</f>
        <v>0</v>
      </c>
    </row>
    <row r="81" spans="2:12" outlineLevel="1" x14ac:dyDescent="0.25">
      <c r="B81" s="19">
        <f>ROUND( $B$80 + $B$8, $B$9 - LOG( $B$10 ))</f>
        <v>476</v>
      </c>
      <c r="C81" s="19">
        <f>ROUND( $C$80 + $C$8, $C$9 - LOG( $C$10 ))</f>
        <v>680</v>
      </c>
      <c r="D81" s="19">
        <f>ROUND( $D$80 + $D$8, $D$9 - LOG( $D$10 ))</f>
        <v>1020</v>
      </c>
      <c r="E81" s="19">
        <f>ROUND( $E$80 + $E$8, $E$9 - LOG( $E$10 ))</f>
        <v>476</v>
      </c>
      <c r="F81" s="19">
        <f>ROUND( $F$80 + $F$8, $F$9 - LOG( $F$10 ))</f>
        <v>476</v>
      </c>
      <c r="G81" s="19">
        <f>ROUND( $G$80 + $G$8, $G$9 - LOG( $G$10 ))</f>
        <v>476</v>
      </c>
      <c r="H81" s="19">
        <f>ROUND( $H$80 + $H$8, $H$9 - LOG( $H$10 ))</f>
        <v>476</v>
      </c>
      <c r="I81" s="19">
        <f>ROUND( $I$80 + $I$8, $I$9 - LOG( $I$10 ))</f>
        <v>476</v>
      </c>
      <c r="J81" s="19">
        <f>ROUND( $J$80 + $J$8, $J$9 - LOG( $J$10 ))</f>
        <v>476</v>
      </c>
      <c r="K81" s="19">
        <f>ROUND( $K$80 + $K$8, $K$9 - LOG( $K$10 ))</f>
        <v>476</v>
      </c>
      <c r="L81" s="19">
        <f>ROUND( $L$80 + $L$8, $L$9 - LOG( $L$10 ))</f>
        <v>0</v>
      </c>
    </row>
    <row r="82" spans="2:12" outlineLevel="1" x14ac:dyDescent="0.25">
      <c r="B82" s="19">
        <f>ROUND( $B$81 + $B$8, $B$9 - LOG( $B$10 ))</f>
        <v>483</v>
      </c>
      <c r="C82" s="19">
        <f>ROUND( $C$81 + $C$8, $C$9 - LOG( $C$10 ))</f>
        <v>690</v>
      </c>
      <c r="D82" s="19">
        <f>ROUND( $D$81 + $D$8, $D$9 - LOG( $D$10 ))</f>
        <v>1035</v>
      </c>
      <c r="E82" s="19">
        <f>ROUND( $E$81 + $E$8, $E$9 - LOG( $E$10 ))</f>
        <v>483</v>
      </c>
      <c r="F82" s="19">
        <f>ROUND( $F$81 + $F$8, $F$9 - LOG( $F$10 ))</f>
        <v>483</v>
      </c>
      <c r="G82" s="19">
        <f>ROUND( $G$81 + $G$8, $G$9 - LOG( $G$10 ))</f>
        <v>483</v>
      </c>
      <c r="H82" s="19">
        <f>ROUND( $H$81 + $H$8, $H$9 - LOG( $H$10 ))</f>
        <v>483</v>
      </c>
      <c r="I82" s="19">
        <f>ROUND( $I$81 + $I$8, $I$9 - LOG( $I$10 ))</f>
        <v>483</v>
      </c>
      <c r="J82" s="19">
        <f>ROUND( $J$81 + $J$8, $J$9 - LOG( $J$10 ))</f>
        <v>483</v>
      </c>
      <c r="K82" s="19">
        <f>ROUND( $K$81 + $K$8, $K$9 - LOG( $K$10 ))</f>
        <v>483</v>
      </c>
      <c r="L82" s="19">
        <f>ROUND( $L$81 + $L$8, $L$9 - LOG( $L$10 ))</f>
        <v>0</v>
      </c>
    </row>
    <row r="83" spans="2:12" outlineLevel="1" x14ac:dyDescent="0.25">
      <c r="B83" s="19">
        <f>ROUND( $B$82 + $B$8, $B$9 - LOG( $B$10 ))</f>
        <v>490</v>
      </c>
      <c r="C83" s="19">
        <f>ROUND( $C$82 + $C$8, $C$9 - LOG( $C$10 ))</f>
        <v>700</v>
      </c>
      <c r="D83" s="19">
        <f>ROUND( $D$82 + $D$8, $D$9 - LOG( $D$10 ))</f>
        <v>1050</v>
      </c>
      <c r="E83" s="19">
        <f>ROUND( $E$82 + $E$8, $E$9 - LOG( $E$10 ))</f>
        <v>490</v>
      </c>
      <c r="F83" s="19">
        <f>ROUND( $F$82 + $F$8, $F$9 - LOG( $F$10 ))</f>
        <v>490</v>
      </c>
      <c r="G83" s="19">
        <f>ROUND( $G$82 + $G$8, $G$9 - LOG( $G$10 ))</f>
        <v>490</v>
      </c>
      <c r="H83" s="19">
        <f>ROUND( $H$82 + $H$8, $H$9 - LOG( $H$10 ))</f>
        <v>490</v>
      </c>
      <c r="I83" s="19">
        <f>ROUND( $I$82 + $I$8, $I$9 - LOG( $I$10 ))</f>
        <v>490</v>
      </c>
      <c r="J83" s="19">
        <f>ROUND( $J$82 + $J$8, $J$9 - LOG( $J$10 ))</f>
        <v>490</v>
      </c>
      <c r="K83" s="19">
        <f>ROUND( $K$82 + $K$8, $K$9 - LOG( $K$10 ))</f>
        <v>490</v>
      </c>
      <c r="L83" s="19">
        <f>ROUND( $L$82 + $L$8, $L$9 - LOG( $L$10 ))</f>
        <v>0</v>
      </c>
    </row>
    <row r="84" spans="2:12" outlineLevel="1" x14ac:dyDescent="0.25">
      <c r="B84" s="19">
        <f>ROUND( $B$83 + $B$8, $B$9 - LOG( $B$10 ))</f>
        <v>497</v>
      </c>
      <c r="C84" s="19">
        <f>ROUND( $C$83 + $C$8, $C$9 - LOG( $C$10 ))</f>
        <v>710</v>
      </c>
      <c r="D84" s="19">
        <f>ROUND( $D$83 + $D$8, $D$9 - LOG( $D$10 ))</f>
        <v>1065</v>
      </c>
      <c r="E84" s="19">
        <f>ROUND( $E$83 + $E$8, $E$9 - LOG( $E$10 ))</f>
        <v>497</v>
      </c>
      <c r="F84" s="19">
        <f>ROUND( $F$83 + $F$8, $F$9 - LOG( $F$10 ))</f>
        <v>497</v>
      </c>
      <c r="G84" s="19">
        <f>ROUND( $G$83 + $G$8, $G$9 - LOG( $G$10 ))</f>
        <v>497</v>
      </c>
      <c r="H84" s="19">
        <f>ROUND( $H$83 + $H$8, $H$9 - LOG( $H$10 ))</f>
        <v>497</v>
      </c>
      <c r="I84" s="19">
        <f>ROUND( $I$83 + $I$8, $I$9 - LOG( $I$10 ))</f>
        <v>497</v>
      </c>
      <c r="J84" s="19">
        <f>ROUND( $J$83 + $J$8, $J$9 - LOG( $J$10 ))</f>
        <v>497</v>
      </c>
      <c r="K84" s="19">
        <f>ROUND( $K$83 + $K$8, $K$9 - LOG( $K$10 ))</f>
        <v>497</v>
      </c>
      <c r="L84" s="19">
        <f>ROUND( $L$83 + $L$8, $L$9 - LOG( $L$10 ))</f>
        <v>0</v>
      </c>
    </row>
    <row r="85" spans="2:12" outlineLevel="1" x14ac:dyDescent="0.25">
      <c r="B85" s="19">
        <f>ROUND( $B$84 + $B$8, $B$9 - LOG( $B$10 ))</f>
        <v>504</v>
      </c>
      <c r="C85" s="19">
        <f>ROUND( $C$84 + $C$8, $C$9 - LOG( $C$10 ))</f>
        <v>720</v>
      </c>
      <c r="D85" s="19">
        <f>ROUND( $D$84 + $D$8, $D$9 - LOG( $D$10 ))</f>
        <v>1080</v>
      </c>
      <c r="E85" s="19">
        <f>ROUND( $E$84 + $E$8, $E$9 - LOG( $E$10 ))</f>
        <v>504</v>
      </c>
      <c r="F85" s="19">
        <f>ROUND( $F$84 + $F$8, $F$9 - LOG( $F$10 ))</f>
        <v>504</v>
      </c>
      <c r="G85" s="19">
        <f>ROUND( $G$84 + $G$8, $G$9 - LOG( $G$10 ))</f>
        <v>504</v>
      </c>
      <c r="H85" s="19">
        <f>ROUND( $H$84 + $H$8, $H$9 - LOG( $H$10 ))</f>
        <v>504</v>
      </c>
      <c r="I85" s="19">
        <f>ROUND( $I$84 + $I$8, $I$9 - LOG( $I$10 ))</f>
        <v>504</v>
      </c>
      <c r="J85" s="19">
        <f>ROUND( $J$84 + $J$8, $J$9 - LOG( $J$10 ))</f>
        <v>504</v>
      </c>
      <c r="K85" s="19">
        <f>ROUND( $K$84 + $K$8, $K$9 - LOG( $K$10 ))</f>
        <v>504</v>
      </c>
      <c r="L85" s="19">
        <f>ROUND( $L$84 + $L$8, $L$9 - LOG( $L$10 ))</f>
        <v>0</v>
      </c>
    </row>
    <row r="86" spans="2:12" outlineLevel="1" x14ac:dyDescent="0.25">
      <c r="B86" s="19">
        <f>ROUND( $B$85 + $B$8, $B$9 - LOG( $B$10 ))</f>
        <v>511</v>
      </c>
      <c r="C86" s="19">
        <f>ROUND( $C$85 + $C$8, $C$9 - LOG( $C$10 ))</f>
        <v>730</v>
      </c>
      <c r="D86" s="19">
        <f>ROUND( $D$85 + $D$8, $D$9 - LOG( $D$10 ))</f>
        <v>1095</v>
      </c>
      <c r="E86" s="19">
        <f>ROUND( $E$85 + $E$8, $E$9 - LOG( $E$10 ))</f>
        <v>511</v>
      </c>
      <c r="F86" s="19">
        <f>ROUND( $F$85 + $F$8, $F$9 - LOG( $F$10 ))</f>
        <v>511</v>
      </c>
      <c r="G86" s="19">
        <f>ROUND( $G$85 + $G$8, $G$9 - LOG( $G$10 ))</f>
        <v>511</v>
      </c>
      <c r="H86" s="19">
        <f>ROUND( $H$85 + $H$8, $H$9 - LOG( $H$10 ))</f>
        <v>511</v>
      </c>
      <c r="I86" s="19">
        <f>ROUND( $I$85 + $I$8, $I$9 - LOG( $I$10 ))</f>
        <v>511</v>
      </c>
      <c r="J86" s="19">
        <f>ROUND( $J$85 + $J$8, $J$9 - LOG( $J$10 ))</f>
        <v>511</v>
      </c>
      <c r="K86" s="19">
        <f>ROUND( $K$85 + $K$8, $K$9 - LOG( $K$10 ))</f>
        <v>511</v>
      </c>
      <c r="L86" s="19">
        <f>ROUND( $L$85 + $L$8, $L$9 - LOG( $L$10 ))</f>
        <v>0</v>
      </c>
    </row>
    <row r="87" spans="2:12" outlineLevel="1" x14ac:dyDescent="0.25">
      <c r="B87" s="19">
        <f>ROUND( $B$86 + $B$8, $B$9 - LOG( $B$10 ))</f>
        <v>518</v>
      </c>
      <c r="C87" s="19">
        <f>ROUND( $C$86 + $C$8, $C$9 - LOG( $C$10 ))</f>
        <v>740</v>
      </c>
      <c r="D87" s="19">
        <f>ROUND( $D$86 + $D$8, $D$9 - LOG( $D$10 ))</f>
        <v>1110</v>
      </c>
      <c r="E87" s="19">
        <f>ROUND( $E$86 + $E$8, $E$9 - LOG( $E$10 ))</f>
        <v>518</v>
      </c>
      <c r="F87" s="19">
        <f>ROUND( $F$86 + $F$8, $F$9 - LOG( $F$10 ))</f>
        <v>518</v>
      </c>
      <c r="G87" s="19">
        <f>ROUND( $G$86 + $G$8, $G$9 - LOG( $G$10 ))</f>
        <v>518</v>
      </c>
      <c r="H87" s="19">
        <f>ROUND( $H$86 + $H$8, $H$9 - LOG( $H$10 ))</f>
        <v>518</v>
      </c>
      <c r="I87" s="19">
        <f>ROUND( $I$86 + $I$8, $I$9 - LOG( $I$10 ))</f>
        <v>518</v>
      </c>
      <c r="J87" s="19">
        <f>ROUND( $J$86 + $J$8, $J$9 - LOG( $J$10 ))</f>
        <v>518</v>
      </c>
      <c r="K87" s="19">
        <f>ROUND( $K$86 + $K$8, $K$9 - LOG( $K$10 ))</f>
        <v>518</v>
      </c>
      <c r="L87" s="19">
        <f>ROUND( $L$86 + $L$8, $L$9 - LOG( $L$10 ))</f>
        <v>0</v>
      </c>
    </row>
    <row r="88" spans="2:12" outlineLevel="1" x14ac:dyDescent="0.25">
      <c r="B88" s="19">
        <f>ROUND( $B$87 + $B$8, $B$9 - LOG( $B$10 ))</f>
        <v>525</v>
      </c>
      <c r="C88" s="19">
        <f>ROUND( $C$87 + $C$8, $C$9 - LOG( $C$10 ))</f>
        <v>750</v>
      </c>
      <c r="D88" s="19">
        <f>ROUND( $D$87 + $D$8, $D$9 - LOG( $D$10 ))</f>
        <v>1125</v>
      </c>
      <c r="E88" s="19">
        <f>ROUND( $E$87 + $E$8, $E$9 - LOG( $E$10 ))</f>
        <v>525</v>
      </c>
      <c r="F88" s="19">
        <f>ROUND( $F$87 + $F$8, $F$9 - LOG( $F$10 ))</f>
        <v>525</v>
      </c>
      <c r="G88" s="19">
        <f>ROUND( $G$87 + $G$8, $G$9 - LOG( $G$10 ))</f>
        <v>525</v>
      </c>
      <c r="H88" s="19">
        <f>ROUND( $H$87 + $H$8, $H$9 - LOG( $H$10 ))</f>
        <v>525</v>
      </c>
      <c r="I88" s="19">
        <f>ROUND( $I$87 + $I$8, $I$9 - LOG( $I$10 ))</f>
        <v>525</v>
      </c>
      <c r="J88" s="19">
        <f>ROUND( $J$87 + $J$8, $J$9 - LOG( $J$10 ))</f>
        <v>525</v>
      </c>
      <c r="K88" s="19">
        <f>ROUND( $K$87 + $K$8, $K$9 - LOG( $K$10 ))</f>
        <v>525</v>
      </c>
      <c r="L88" s="19">
        <f>ROUND( $L$87 + $L$8, $L$9 - LOG( $L$10 ))</f>
        <v>0</v>
      </c>
    </row>
    <row r="89" spans="2:12" outlineLevel="1" x14ac:dyDescent="0.25">
      <c r="B89" s="19">
        <f>ROUND( $B$88 + $B$8, $B$9 - LOG( $B$10 ))</f>
        <v>532</v>
      </c>
      <c r="C89" s="19">
        <f>ROUND( $C$88 + $C$8, $C$9 - LOG( $C$10 ))</f>
        <v>760</v>
      </c>
      <c r="D89" s="19">
        <f>ROUND( $D$88 + $D$8, $D$9 - LOG( $D$10 ))</f>
        <v>1140</v>
      </c>
      <c r="E89" s="19">
        <f>ROUND( $E$88 + $E$8, $E$9 - LOG( $E$10 ))</f>
        <v>532</v>
      </c>
      <c r="F89" s="19">
        <f>ROUND( $F$88 + $F$8, $F$9 - LOG( $F$10 ))</f>
        <v>532</v>
      </c>
      <c r="G89" s="19">
        <f>ROUND( $G$88 + $G$8, $G$9 - LOG( $G$10 ))</f>
        <v>532</v>
      </c>
      <c r="H89" s="19">
        <f>ROUND( $H$88 + $H$8, $H$9 - LOG( $H$10 ))</f>
        <v>532</v>
      </c>
      <c r="I89" s="19">
        <f>ROUND( $I$88 + $I$8, $I$9 - LOG( $I$10 ))</f>
        <v>532</v>
      </c>
      <c r="J89" s="19">
        <f>ROUND( $J$88 + $J$8, $J$9 - LOG( $J$10 ))</f>
        <v>532</v>
      </c>
      <c r="K89" s="19">
        <f>ROUND( $K$88 + $K$8, $K$9 - LOG( $K$10 ))</f>
        <v>532</v>
      </c>
      <c r="L89" s="19">
        <f>ROUND( $L$88 + $L$8, $L$9 - LOG( $L$10 ))</f>
        <v>0</v>
      </c>
    </row>
    <row r="90" spans="2:12" outlineLevel="1" x14ac:dyDescent="0.25">
      <c r="B90" s="19">
        <f>ROUND( $B$89 + $B$8, $B$9 - LOG( $B$10 ))</f>
        <v>539</v>
      </c>
      <c r="C90" s="19">
        <f>ROUND( $C$89 + $C$8, $C$9 - LOG( $C$10 ))</f>
        <v>770</v>
      </c>
      <c r="D90" s="19">
        <f>ROUND( $D$89 + $D$8, $D$9 - LOG( $D$10 ))</f>
        <v>1155</v>
      </c>
      <c r="E90" s="19">
        <f>ROUND( $E$89 + $E$8, $E$9 - LOG( $E$10 ))</f>
        <v>539</v>
      </c>
      <c r="F90" s="19">
        <f>ROUND( $F$89 + $F$8, $F$9 - LOG( $F$10 ))</f>
        <v>539</v>
      </c>
      <c r="G90" s="19">
        <f>ROUND( $G$89 + $G$8, $G$9 - LOG( $G$10 ))</f>
        <v>539</v>
      </c>
      <c r="H90" s="19">
        <f>ROUND( $H$89 + $H$8, $H$9 - LOG( $H$10 ))</f>
        <v>539</v>
      </c>
      <c r="I90" s="19">
        <f>ROUND( $I$89 + $I$8, $I$9 - LOG( $I$10 ))</f>
        <v>539</v>
      </c>
      <c r="J90" s="19">
        <f>ROUND( $J$89 + $J$8, $J$9 - LOG( $J$10 ))</f>
        <v>539</v>
      </c>
      <c r="K90" s="19">
        <f>ROUND( $K$89 + $K$8, $K$9 - LOG( $K$10 ))</f>
        <v>539</v>
      </c>
      <c r="L90" s="19">
        <f>ROUND( $L$89 + $L$8, $L$9 - LOG( $L$10 ))</f>
        <v>0</v>
      </c>
    </row>
    <row r="91" spans="2:12" outlineLevel="1" x14ac:dyDescent="0.25">
      <c r="B91" s="19">
        <f>ROUND( $B$90 + $B$8, $B$9 - LOG( $B$10 ))</f>
        <v>546</v>
      </c>
      <c r="C91" s="19">
        <f>ROUND( $C$90 + $C$8, $C$9 - LOG( $C$10 ))</f>
        <v>780</v>
      </c>
      <c r="D91" s="19">
        <f>ROUND( $D$90 + $D$8, $D$9 - LOG( $D$10 ))</f>
        <v>1170</v>
      </c>
      <c r="E91" s="19">
        <f>ROUND( $E$90 + $E$8, $E$9 - LOG( $E$10 ))</f>
        <v>546</v>
      </c>
      <c r="F91" s="19">
        <f>ROUND( $F$90 + $F$8, $F$9 - LOG( $F$10 ))</f>
        <v>546</v>
      </c>
      <c r="G91" s="19">
        <f>ROUND( $G$90 + $G$8, $G$9 - LOG( $G$10 ))</f>
        <v>546</v>
      </c>
      <c r="H91" s="19">
        <f>ROUND( $H$90 + $H$8, $H$9 - LOG( $H$10 ))</f>
        <v>546</v>
      </c>
      <c r="I91" s="19">
        <f>ROUND( $I$90 + $I$8, $I$9 - LOG( $I$10 ))</f>
        <v>546</v>
      </c>
      <c r="J91" s="19">
        <f>ROUND( $J$90 + $J$8, $J$9 - LOG( $J$10 ))</f>
        <v>546</v>
      </c>
      <c r="K91" s="19">
        <f>ROUND( $K$90 + $K$8, $K$9 - LOG( $K$10 ))</f>
        <v>546</v>
      </c>
      <c r="L91" s="19">
        <f>ROUND( $L$90 + $L$8, $L$9 - LOG( $L$10 ))</f>
        <v>0</v>
      </c>
    </row>
    <row r="92" spans="2:12" outlineLevel="1" x14ac:dyDescent="0.25">
      <c r="B92" s="19">
        <f>ROUND( $B$91 + $B$8, $B$9 - LOG( $B$10 ))</f>
        <v>553</v>
      </c>
      <c r="C92" s="19">
        <f>ROUND( $C$91 + $C$8, $C$9 - LOG( $C$10 ))</f>
        <v>790</v>
      </c>
      <c r="D92" s="19">
        <f>ROUND( $D$91 + $D$8, $D$9 - LOG( $D$10 ))</f>
        <v>1185</v>
      </c>
      <c r="E92" s="19">
        <f>ROUND( $E$91 + $E$8, $E$9 - LOG( $E$10 ))</f>
        <v>553</v>
      </c>
      <c r="F92" s="19">
        <f>ROUND( $F$91 + $F$8, $F$9 - LOG( $F$10 ))</f>
        <v>553</v>
      </c>
      <c r="G92" s="19">
        <f>ROUND( $G$91 + $G$8, $G$9 - LOG( $G$10 ))</f>
        <v>553</v>
      </c>
      <c r="H92" s="19">
        <f>ROUND( $H$91 + $H$8, $H$9 - LOG( $H$10 ))</f>
        <v>553</v>
      </c>
      <c r="I92" s="19">
        <f>ROUND( $I$91 + $I$8, $I$9 - LOG( $I$10 ))</f>
        <v>553</v>
      </c>
      <c r="J92" s="19">
        <f>ROUND( $J$91 + $J$8, $J$9 - LOG( $J$10 ))</f>
        <v>553</v>
      </c>
      <c r="K92" s="19">
        <f>ROUND( $K$91 + $K$8, $K$9 - LOG( $K$10 ))</f>
        <v>553</v>
      </c>
      <c r="L92" s="19">
        <f>ROUND( $L$91 + $L$8, $L$9 - LOG( $L$10 ))</f>
        <v>0</v>
      </c>
    </row>
    <row r="93" spans="2:12" outlineLevel="1" x14ac:dyDescent="0.25">
      <c r="B93" s="19">
        <f>ROUND( $B$92 + $B$8, $B$9 - LOG( $B$10 ))</f>
        <v>560</v>
      </c>
      <c r="C93" s="19">
        <f>ROUND( $C$92 + $C$8, $C$9 - LOG( $C$10 ))</f>
        <v>800</v>
      </c>
      <c r="D93" s="19">
        <f>ROUND( $D$92 + $D$8, $D$9 - LOG( $D$10 ))</f>
        <v>1200</v>
      </c>
      <c r="E93" s="19">
        <f>ROUND( $E$92 + $E$8, $E$9 - LOG( $E$10 ))</f>
        <v>560</v>
      </c>
      <c r="F93" s="19">
        <f>ROUND( $F$92 + $F$8, $F$9 - LOG( $F$10 ))</f>
        <v>560</v>
      </c>
      <c r="G93" s="19">
        <f>ROUND( $G$92 + $G$8, $G$9 - LOG( $G$10 ))</f>
        <v>560</v>
      </c>
      <c r="H93" s="19">
        <f>ROUND( $H$92 + $H$8, $H$9 - LOG( $H$10 ))</f>
        <v>560</v>
      </c>
      <c r="I93" s="19">
        <f>ROUND( $I$92 + $I$8, $I$9 - LOG( $I$10 ))</f>
        <v>560</v>
      </c>
      <c r="J93" s="19">
        <f>ROUND( $J$92 + $J$8, $J$9 - LOG( $J$10 ))</f>
        <v>560</v>
      </c>
      <c r="K93" s="19">
        <f>ROUND( $K$92 + $K$8, $K$9 - LOG( $K$10 ))</f>
        <v>560</v>
      </c>
      <c r="L93" s="19">
        <f>ROUND( $L$92 + $L$8, $L$9 - LOG( $L$10 ))</f>
        <v>0</v>
      </c>
    </row>
    <row r="94" spans="2:12" outlineLevel="1" x14ac:dyDescent="0.25">
      <c r="B94" s="19">
        <f>ROUND( $B$93 + $B$8, $B$9 - LOG( $B$10 ))</f>
        <v>567</v>
      </c>
      <c r="C94" s="19">
        <f>ROUND( $C$93 + $C$8, $C$9 - LOG( $C$10 ))</f>
        <v>810</v>
      </c>
      <c r="D94" s="19">
        <f>ROUND( $D$93 + $D$8, $D$9 - LOG( $D$10 ))</f>
        <v>1215</v>
      </c>
      <c r="E94" s="19">
        <f>ROUND( $E$93 + $E$8, $E$9 - LOG( $E$10 ))</f>
        <v>567</v>
      </c>
      <c r="F94" s="19">
        <f>ROUND( $F$93 + $F$8, $F$9 - LOG( $F$10 ))</f>
        <v>567</v>
      </c>
      <c r="G94" s="19">
        <f>ROUND( $G$93 + $G$8, $G$9 - LOG( $G$10 ))</f>
        <v>567</v>
      </c>
      <c r="H94" s="19">
        <f>ROUND( $H$93 + $H$8, $H$9 - LOG( $H$10 ))</f>
        <v>567</v>
      </c>
      <c r="I94" s="19">
        <f>ROUND( $I$93 + $I$8, $I$9 - LOG( $I$10 ))</f>
        <v>567</v>
      </c>
      <c r="J94" s="19">
        <f>ROUND( $J$93 + $J$8, $J$9 - LOG( $J$10 ))</f>
        <v>567</v>
      </c>
      <c r="K94" s="19">
        <f>ROUND( $K$93 + $K$8, $K$9 - LOG( $K$10 ))</f>
        <v>567</v>
      </c>
      <c r="L94" s="19">
        <f>ROUND( $L$93 + $L$8, $L$9 - LOG( $L$10 ))</f>
        <v>0</v>
      </c>
    </row>
    <row r="95" spans="2:12" outlineLevel="1" x14ac:dyDescent="0.25">
      <c r="B95" s="19">
        <f>ROUND( $B$94 + $B$8, $B$9 - LOG( $B$10 ))</f>
        <v>574</v>
      </c>
      <c r="C95" s="19">
        <f>ROUND( $C$94 + $C$8, $C$9 - LOG( $C$10 ))</f>
        <v>820</v>
      </c>
      <c r="D95" s="19">
        <f>ROUND( $D$94 + $D$8, $D$9 - LOG( $D$10 ))</f>
        <v>1230</v>
      </c>
      <c r="E95" s="19">
        <f>ROUND( $E$94 + $E$8, $E$9 - LOG( $E$10 ))</f>
        <v>574</v>
      </c>
      <c r="F95" s="19">
        <f>ROUND( $F$94 + $F$8, $F$9 - LOG( $F$10 ))</f>
        <v>574</v>
      </c>
      <c r="G95" s="19">
        <f>ROUND( $G$94 + $G$8, $G$9 - LOG( $G$10 ))</f>
        <v>574</v>
      </c>
      <c r="H95" s="19">
        <f>ROUND( $H$94 + $H$8, $H$9 - LOG( $H$10 ))</f>
        <v>574</v>
      </c>
      <c r="I95" s="19">
        <f>ROUND( $I$94 + $I$8, $I$9 - LOG( $I$10 ))</f>
        <v>574</v>
      </c>
      <c r="J95" s="19">
        <f>ROUND( $J$94 + $J$8, $J$9 - LOG( $J$10 ))</f>
        <v>574</v>
      </c>
      <c r="K95" s="19">
        <f>ROUND( $K$94 + $K$8, $K$9 - LOG( $K$10 ))</f>
        <v>574</v>
      </c>
      <c r="L95" s="19">
        <f>ROUND( $L$94 + $L$8, $L$9 - LOG( $L$10 ))</f>
        <v>0</v>
      </c>
    </row>
    <row r="96" spans="2:12" outlineLevel="1" x14ac:dyDescent="0.25">
      <c r="B96" s="19">
        <f>ROUND( $B$95 + $B$8, $B$9 - LOG( $B$10 ))</f>
        <v>581</v>
      </c>
      <c r="C96" s="19">
        <f>ROUND( $C$95 + $C$8, $C$9 - LOG( $C$10 ))</f>
        <v>830</v>
      </c>
      <c r="D96" s="19">
        <f>ROUND( $D$95 + $D$8, $D$9 - LOG( $D$10 ))</f>
        <v>1245</v>
      </c>
      <c r="E96" s="19">
        <f>ROUND( $E$95 + $E$8, $E$9 - LOG( $E$10 ))</f>
        <v>581</v>
      </c>
      <c r="F96" s="19">
        <f>ROUND( $F$95 + $F$8, $F$9 - LOG( $F$10 ))</f>
        <v>581</v>
      </c>
      <c r="G96" s="19">
        <f>ROUND( $G$95 + $G$8, $G$9 - LOG( $G$10 ))</f>
        <v>581</v>
      </c>
      <c r="H96" s="19">
        <f>ROUND( $H$95 + $H$8, $H$9 - LOG( $H$10 ))</f>
        <v>581</v>
      </c>
      <c r="I96" s="19">
        <f>ROUND( $I$95 + $I$8, $I$9 - LOG( $I$10 ))</f>
        <v>581</v>
      </c>
      <c r="J96" s="19">
        <f>ROUND( $J$95 + $J$8, $J$9 - LOG( $J$10 ))</f>
        <v>581</v>
      </c>
      <c r="K96" s="19">
        <f>ROUND( $K$95 + $K$8, $K$9 - LOG( $K$10 ))</f>
        <v>581</v>
      </c>
      <c r="L96" s="19">
        <f>ROUND( $L$95 + $L$8, $L$9 - LOG( $L$10 ))</f>
        <v>0</v>
      </c>
    </row>
    <row r="97" spans="2:12" outlineLevel="1" x14ac:dyDescent="0.25">
      <c r="B97" s="19">
        <f>ROUND( $B$96 + $B$8, $B$9 - LOG( $B$10 ))</f>
        <v>588</v>
      </c>
      <c r="C97" s="19">
        <f>ROUND( $C$96 + $C$8, $C$9 - LOG( $C$10 ))</f>
        <v>840</v>
      </c>
      <c r="D97" s="19">
        <f>ROUND( $D$96 + $D$8, $D$9 - LOG( $D$10 ))</f>
        <v>1260</v>
      </c>
      <c r="E97" s="19">
        <f>ROUND( $E$96 + $E$8, $E$9 - LOG( $E$10 ))</f>
        <v>588</v>
      </c>
      <c r="F97" s="19">
        <f>ROUND( $F$96 + $F$8, $F$9 - LOG( $F$10 ))</f>
        <v>588</v>
      </c>
      <c r="G97" s="19">
        <f>ROUND( $G$96 + $G$8, $G$9 - LOG( $G$10 ))</f>
        <v>588</v>
      </c>
      <c r="H97" s="19">
        <f>ROUND( $H$96 + $H$8, $H$9 - LOG( $H$10 ))</f>
        <v>588</v>
      </c>
      <c r="I97" s="19">
        <f>ROUND( $I$96 + $I$8, $I$9 - LOG( $I$10 ))</f>
        <v>588</v>
      </c>
      <c r="J97" s="19">
        <f>ROUND( $J$96 + $J$8, $J$9 - LOG( $J$10 ))</f>
        <v>588</v>
      </c>
      <c r="K97" s="19">
        <f>ROUND( $K$96 + $K$8, $K$9 - LOG( $K$10 ))</f>
        <v>588</v>
      </c>
      <c r="L97" s="19">
        <f>ROUND( $L$96 + $L$8, $L$9 - LOG( $L$10 ))</f>
        <v>0</v>
      </c>
    </row>
    <row r="98" spans="2:12" outlineLevel="1" x14ac:dyDescent="0.25">
      <c r="B98" s="19">
        <f>ROUND( $B$97 + $B$8, $B$9 - LOG( $B$10 ))</f>
        <v>595</v>
      </c>
      <c r="C98" s="19">
        <f>ROUND( $C$97 + $C$8, $C$9 - LOG( $C$10 ))</f>
        <v>850</v>
      </c>
      <c r="D98" s="19">
        <f>ROUND( $D$97 + $D$8, $D$9 - LOG( $D$10 ))</f>
        <v>1275</v>
      </c>
      <c r="E98" s="19">
        <f>ROUND( $E$97 + $E$8, $E$9 - LOG( $E$10 ))</f>
        <v>595</v>
      </c>
      <c r="F98" s="19">
        <f>ROUND( $F$97 + $F$8, $F$9 - LOG( $F$10 ))</f>
        <v>595</v>
      </c>
      <c r="G98" s="19">
        <f>ROUND( $G$97 + $G$8, $G$9 - LOG( $G$10 ))</f>
        <v>595</v>
      </c>
      <c r="H98" s="19">
        <f>ROUND( $H$97 + $H$8, $H$9 - LOG( $H$10 ))</f>
        <v>595</v>
      </c>
      <c r="I98" s="19">
        <f>ROUND( $I$97 + $I$8, $I$9 - LOG( $I$10 ))</f>
        <v>595</v>
      </c>
      <c r="J98" s="19">
        <f>ROUND( $J$97 + $J$8, $J$9 - LOG( $J$10 ))</f>
        <v>595</v>
      </c>
      <c r="K98" s="19">
        <f>ROUND( $K$97 + $K$8, $K$9 - LOG( $K$10 ))</f>
        <v>595</v>
      </c>
      <c r="L98" s="19">
        <f>ROUND( $L$97 + $L$8, $L$9 - LOG( $L$10 ))</f>
        <v>0</v>
      </c>
    </row>
    <row r="99" spans="2:12" outlineLevel="1" x14ac:dyDescent="0.25">
      <c r="B99" s="19">
        <f>ROUND( $B$98 + $B$8, $B$9 - LOG( $B$10 ))</f>
        <v>602</v>
      </c>
      <c r="C99" s="19">
        <f>ROUND( $C$98 + $C$8, $C$9 - LOG( $C$10 ))</f>
        <v>860</v>
      </c>
      <c r="D99" s="19">
        <f>ROUND( $D$98 + $D$8, $D$9 - LOG( $D$10 ))</f>
        <v>1290</v>
      </c>
      <c r="E99" s="19">
        <f>ROUND( $E$98 + $E$8, $E$9 - LOG( $E$10 ))</f>
        <v>602</v>
      </c>
      <c r="F99" s="19">
        <f>ROUND( $F$98 + $F$8, $F$9 - LOG( $F$10 ))</f>
        <v>602</v>
      </c>
      <c r="G99" s="19">
        <f>ROUND( $G$98 + $G$8, $G$9 - LOG( $G$10 ))</f>
        <v>602</v>
      </c>
      <c r="H99" s="19">
        <f>ROUND( $H$98 + $H$8, $H$9 - LOG( $H$10 ))</f>
        <v>602</v>
      </c>
      <c r="I99" s="19">
        <f>ROUND( $I$98 + $I$8, $I$9 - LOG( $I$10 ))</f>
        <v>602</v>
      </c>
      <c r="J99" s="19">
        <f>ROUND( $J$98 + $J$8, $J$9 - LOG( $J$10 ))</f>
        <v>602</v>
      </c>
      <c r="K99" s="19">
        <f>ROUND( $K$98 + $K$8, $K$9 - LOG( $K$10 ))</f>
        <v>602</v>
      </c>
      <c r="L99" s="19">
        <f>ROUND( $L$98 + $L$8, $L$9 - LOG( $L$10 ))</f>
        <v>0</v>
      </c>
    </row>
    <row r="100" spans="2:12" outlineLevel="1" x14ac:dyDescent="0.25">
      <c r="B100" s="19">
        <f>ROUND( $B$99 + $B$8, $B$9 - LOG( $B$10 ))</f>
        <v>609</v>
      </c>
      <c r="C100" s="19">
        <f>ROUND( $C$99 + $C$8, $C$9 - LOG( $C$10 ))</f>
        <v>870</v>
      </c>
      <c r="D100" s="19">
        <f>ROUND( $D$99 + $D$8, $D$9 - LOG( $D$10 ))</f>
        <v>1305</v>
      </c>
      <c r="E100" s="19">
        <f>ROUND( $E$99 + $E$8, $E$9 - LOG( $E$10 ))</f>
        <v>609</v>
      </c>
      <c r="F100" s="19">
        <f>ROUND( $F$99 + $F$8, $F$9 - LOG( $F$10 ))</f>
        <v>609</v>
      </c>
      <c r="G100" s="19">
        <f>ROUND( $G$99 + $G$8, $G$9 - LOG( $G$10 ))</f>
        <v>609</v>
      </c>
      <c r="H100" s="19">
        <f>ROUND( $H$99 + $H$8, $H$9 - LOG( $H$10 ))</f>
        <v>609</v>
      </c>
      <c r="I100" s="19">
        <f>ROUND( $I$99 + $I$8, $I$9 - LOG( $I$10 ))</f>
        <v>609</v>
      </c>
      <c r="J100" s="19">
        <f>ROUND( $J$99 + $J$8, $J$9 - LOG( $J$10 ))</f>
        <v>609</v>
      </c>
      <c r="K100" s="19">
        <f>ROUND( $K$99 + $K$8, $K$9 - LOG( $K$10 ))</f>
        <v>609</v>
      </c>
      <c r="L100" s="19">
        <f>ROUND( $L$99 + $L$8, $L$9 - LOG( $L$10 ))</f>
        <v>0</v>
      </c>
    </row>
    <row r="101" spans="2:12" outlineLevel="1" x14ac:dyDescent="0.25">
      <c r="B101" s="19">
        <f>ROUND( $B$100 + $B$8, $B$9 - LOG( $B$10 ))</f>
        <v>616</v>
      </c>
      <c r="C101" s="19">
        <f>ROUND( $C$100 + $C$8, $C$9 - LOG( $C$10 ))</f>
        <v>880</v>
      </c>
      <c r="D101" s="19">
        <f>ROUND( $D$100 + $D$8, $D$9 - LOG( $D$10 ))</f>
        <v>1320</v>
      </c>
      <c r="E101" s="19">
        <f>ROUND( $E$100 + $E$8, $E$9 - LOG( $E$10 ))</f>
        <v>616</v>
      </c>
      <c r="F101" s="19">
        <f>ROUND( $F$100 + $F$8, $F$9 - LOG( $F$10 ))</f>
        <v>616</v>
      </c>
      <c r="G101" s="19">
        <f>ROUND( $G$100 + $G$8, $G$9 - LOG( $G$10 ))</f>
        <v>616</v>
      </c>
      <c r="H101" s="19">
        <f>ROUND( $H$100 + $H$8, $H$9 - LOG( $H$10 ))</f>
        <v>616</v>
      </c>
      <c r="I101" s="19">
        <f>ROUND( $I$100 + $I$8, $I$9 - LOG( $I$10 ))</f>
        <v>616</v>
      </c>
      <c r="J101" s="19">
        <f>ROUND( $J$100 + $J$8, $J$9 - LOG( $J$10 ))</f>
        <v>616</v>
      </c>
      <c r="K101" s="19">
        <f>ROUND( $K$100 + $K$8, $K$9 - LOG( $K$10 ))</f>
        <v>616</v>
      </c>
      <c r="L101" s="19">
        <f>ROUND( $L$100 + $L$8, $L$9 - LOG( $L$10 ))</f>
        <v>0</v>
      </c>
    </row>
    <row r="102" spans="2:12" outlineLevel="1" x14ac:dyDescent="0.25">
      <c r="B102" s="19">
        <f>ROUND( $B$101 + $B$8, $B$9 - LOG( $B$10 ))</f>
        <v>623</v>
      </c>
      <c r="C102" s="19">
        <f>ROUND( $C$101 + $C$8, $C$9 - LOG( $C$10 ))</f>
        <v>890</v>
      </c>
      <c r="D102" s="19">
        <f>ROUND( $D$101 + $D$8, $D$9 - LOG( $D$10 ))</f>
        <v>1335</v>
      </c>
      <c r="E102" s="19">
        <f>ROUND( $E$101 + $E$8, $E$9 - LOG( $E$10 ))</f>
        <v>623</v>
      </c>
      <c r="F102" s="19">
        <f>ROUND( $F$101 + $F$8, $F$9 - LOG( $F$10 ))</f>
        <v>623</v>
      </c>
      <c r="G102" s="19">
        <f>ROUND( $G$101 + $G$8, $G$9 - LOG( $G$10 ))</f>
        <v>623</v>
      </c>
      <c r="H102" s="19">
        <f>ROUND( $H$101 + $H$8, $H$9 - LOG( $H$10 ))</f>
        <v>623</v>
      </c>
      <c r="I102" s="19">
        <f>ROUND( $I$101 + $I$8, $I$9 - LOG( $I$10 ))</f>
        <v>623</v>
      </c>
      <c r="J102" s="19">
        <f>ROUND( $J$101 + $J$8, $J$9 - LOG( $J$10 ))</f>
        <v>623</v>
      </c>
      <c r="K102" s="19">
        <f>ROUND( $K$101 + $K$8, $K$9 - LOG( $K$10 ))</f>
        <v>623</v>
      </c>
      <c r="L102" s="19">
        <f>ROUND( $L$101 + $L$8, $L$9 - LOG( $L$10 ))</f>
        <v>0</v>
      </c>
    </row>
    <row r="103" spans="2:12" outlineLevel="1" x14ac:dyDescent="0.25">
      <c r="B103" s="19">
        <f>ROUND( $B$102 + $B$8, $B$9 - LOG( $B$10 ))</f>
        <v>630</v>
      </c>
      <c r="C103" s="19">
        <f>ROUND( $C$102 + $C$8, $C$9 - LOG( $C$10 ))</f>
        <v>900</v>
      </c>
      <c r="D103" s="19">
        <f>ROUND( $D$102 + $D$8, $D$9 - LOG( $D$10 ))</f>
        <v>1350</v>
      </c>
      <c r="E103" s="19">
        <f>ROUND( $E$102 + $E$8, $E$9 - LOG( $E$10 ))</f>
        <v>630</v>
      </c>
      <c r="F103" s="19">
        <f>ROUND( $F$102 + $F$8, $F$9 - LOG( $F$10 ))</f>
        <v>630</v>
      </c>
      <c r="G103" s="19">
        <f>ROUND( $G$102 + $G$8, $G$9 - LOG( $G$10 ))</f>
        <v>630</v>
      </c>
      <c r="H103" s="19">
        <f>ROUND( $H$102 + $H$8, $H$9 - LOG( $H$10 ))</f>
        <v>630</v>
      </c>
      <c r="I103" s="19">
        <f>ROUND( $I$102 + $I$8, $I$9 - LOG( $I$10 ))</f>
        <v>630</v>
      </c>
      <c r="J103" s="19">
        <f>ROUND( $J$102 + $J$8, $J$9 - LOG( $J$10 ))</f>
        <v>630</v>
      </c>
      <c r="K103" s="19">
        <f>ROUND( $K$102 + $K$8, $K$9 - LOG( $K$10 ))</f>
        <v>630</v>
      </c>
      <c r="L103" s="19">
        <f>ROUND( $L$102 + $L$8, $L$9 - LOG( $L$10 ))</f>
        <v>0</v>
      </c>
    </row>
    <row r="104" spans="2:12" outlineLevel="1" x14ac:dyDescent="0.25">
      <c r="B104" s="19">
        <f>ROUND( $B$103 + $B$8, $B$9 - LOG( $B$10 ))</f>
        <v>637</v>
      </c>
      <c r="C104" s="19">
        <f>ROUND( $C$103 + $C$8, $C$9 - LOG( $C$10 ))</f>
        <v>910</v>
      </c>
      <c r="D104" s="19">
        <f>ROUND( $D$103 + $D$8, $D$9 - LOG( $D$10 ))</f>
        <v>1365</v>
      </c>
      <c r="E104" s="19">
        <f>ROUND( $E$103 + $E$8, $E$9 - LOG( $E$10 ))</f>
        <v>637</v>
      </c>
      <c r="F104" s="19">
        <f>ROUND( $F$103 + $F$8, $F$9 - LOG( $F$10 ))</f>
        <v>637</v>
      </c>
      <c r="G104" s="19">
        <f>ROUND( $G$103 + $G$8, $G$9 - LOG( $G$10 ))</f>
        <v>637</v>
      </c>
      <c r="H104" s="19">
        <f>ROUND( $H$103 + $H$8, $H$9 - LOG( $H$10 ))</f>
        <v>637</v>
      </c>
      <c r="I104" s="19">
        <f>ROUND( $I$103 + $I$8, $I$9 - LOG( $I$10 ))</f>
        <v>637</v>
      </c>
      <c r="J104" s="19">
        <f>ROUND( $J$103 + $J$8, $J$9 - LOG( $J$10 ))</f>
        <v>637</v>
      </c>
      <c r="K104" s="19">
        <f>ROUND( $K$103 + $K$8, $K$9 - LOG( $K$10 ))</f>
        <v>637</v>
      </c>
      <c r="L104" s="19">
        <f>ROUND( $L$103 + $L$8, $L$9 - LOG( $L$10 ))</f>
        <v>0</v>
      </c>
    </row>
    <row r="105" spans="2:12" outlineLevel="1" x14ac:dyDescent="0.25">
      <c r="B105" s="19">
        <f>ROUND( $B$104 + $B$8, $B$9 - LOG( $B$10 ))</f>
        <v>644</v>
      </c>
      <c r="C105" s="19">
        <f>ROUND( $C$104 + $C$8, $C$9 - LOG( $C$10 ))</f>
        <v>920</v>
      </c>
      <c r="D105" s="19">
        <f>ROUND( $D$104 + $D$8, $D$9 - LOG( $D$10 ))</f>
        <v>1380</v>
      </c>
      <c r="E105" s="19">
        <f>ROUND( $E$104 + $E$8, $E$9 - LOG( $E$10 ))</f>
        <v>644</v>
      </c>
      <c r="F105" s="19">
        <f>ROUND( $F$104 + $F$8, $F$9 - LOG( $F$10 ))</f>
        <v>644</v>
      </c>
      <c r="G105" s="19">
        <f>ROUND( $G$104 + $G$8, $G$9 - LOG( $G$10 ))</f>
        <v>644</v>
      </c>
      <c r="H105" s="19">
        <f>ROUND( $H$104 + $H$8, $H$9 - LOG( $H$10 ))</f>
        <v>644</v>
      </c>
      <c r="I105" s="19">
        <f>ROUND( $I$104 + $I$8, $I$9 - LOG( $I$10 ))</f>
        <v>644</v>
      </c>
      <c r="J105" s="19">
        <f>ROUND( $J$104 + $J$8, $J$9 - LOG( $J$10 ))</f>
        <v>644</v>
      </c>
      <c r="K105" s="19">
        <f>ROUND( $K$104 + $K$8, $K$9 - LOG( $K$10 ))</f>
        <v>644</v>
      </c>
      <c r="L105" s="19">
        <f>ROUND( $L$104 + $L$8, $L$9 - LOG( $L$10 ))</f>
        <v>0</v>
      </c>
    </row>
    <row r="106" spans="2:12" outlineLevel="1" x14ac:dyDescent="0.25">
      <c r="B106" s="19">
        <f>ROUND( $B$105 + $B$8, $B$9 - LOG( $B$10 ))</f>
        <v>651</v>
      </c>
      <c r="C106" s="19">
        <f>ROUND( $C$105 + $C$8, $C$9 - LOG( $C$10 ))</f>
        <v>930</v>
      </c>
      <c r="D106" s="19">
        <f>ROUND( $D$105 + $D$8, $D$9 - LOG( $D$10 ))</f>
        <v>1395</v>
      </c>
      <c r="E106" s="19">
        <f>ROUND( $E$105 + $E$8, $E$9 - LOG( $E$10 ))</f>
        <v>651</v>
      </c>
      <c r="F106" s="19">
        <f>ROUND( $F$105 + $F$8, $F$9 - LOG( $F$10 ))</f>
        <v>651</v>
      </c>
      <c r="G106" s="19">
        <f>ROUND( $G$105 + $G$8, $G$9 - LOG( $G$10 ))</f>
        <v>651</v>
      </c>
      <c r="H106" s="19">
        <f>ROUND( $H$105 + $H$8, $H$9 - LOG( $H$10 ))</f>
        <v>651</v>
      </c>
      <c r="I106" s="19">
        <f>ROUND( $I$105 + $I$8, $I$9 - LOG( $I$10 ))</f>
        <v>651</v>
      </c>
      <c r="J106" s="19">
        <f>ROUND( $J$105 + $J$8, $J$9 - LOG( $J$10 ))</f>
        <v>651</v>
      </c>
      <c r="K106" s="19">
        <f>ROUND( $K$105 + $K$8, $K$9 - LOG( $K$10 ))</f>
        <v>651</v>
      </c>
      <c r="L106" s="19">
        <f>ROUND( $L$105 + $L$8, $L$9 - LOG( $L$10 ))</f>
        <v>0</v>
      </c>
    </row>
    <row r="107" spans="2:12" outlineLevel="1" x14ac:dyDescent="0.25">
      <c r="B107" s="19">
        <f>ROUND( $B$106 + $B$8, $B$9 - LOG( $B$10 ))</f>
        <v>658</v>
      </c>
      <c r="C107" s="19">
        <f>ROUND( $C$106 + $C$8, $C$9 - LOG( $C$10 ))</f>
        <v>940</v>
      </c>
      <c r="D107" s="19">
        <f>ROUND( $D$106 + $D$8, $D$9 - LOG( $D$10 ))</f>
        <v>1410</v>
      </c>
      <c r="E107" s="19">
        <f>ROUND( $E$106 + $E$8, $E$9 - LOG( $E$10 ))</f>
        <v>658</v>
      </c>
      <c r="F107" s="19">
        <f>ROUND( $F$106 + $F$8, $F$9 - LOG( $F$10 ))</f>
        <v>658</v>
      </c>
      <c r="G107" s="19">
        <f>ROUND( $G$106 + $G$8, $G$9 - LOG( $G$10 ))</f>
        <v>658</v>
      </c>
      <c r="H107" s="19">
        <f>ROUND( $H$106 + $H$8, $H$9 - LOG( $H$10 ))</f>
        <v>658</v>
      </c>
      <c r="I107" s="19">
        <f>ROUND( $I$106 + $I$8, $I$9 - LOG( $I$10 ))</f>
        <v>658</v>
      </c>
      <c r="J107" s="19">
        <f>ROUND( $J$106 + $J$8, $J$9 - LOG( $J$10 ))</f>
        <v>658</v>
      </c>
      <c r="K107" s="19">
        <f>ROUND( $K$106 + $K$8, $K$9 - LOG( $K$10 ))</f>
        <v>658</v>
      </c>
      <c r="L107" s="19">
        <f>ROUND( $L$106 + $L$8, $L$9 - LOG( $L$10 ))</f>
        <v>0</v>
      </c>
    </row>
    <row r="108" spans="2:12" outlineLevel="1" x14ac:dyDescent="0.25">
      <c r="B108" s="19">
        <f>ROUND( $B$107 + $B$8, $B$9 - LOG( $B$10 ))</f>
        <v>665</v>
      </c>
      <c r="C108" s="19">
        <f>ROUND( $C$107 + $C$8, $C$9 - LOG( $C$10 ))</f>
        <v>950</v>
      </c>
      <c r="D108" s="19">
        <f>ROUND( $D$107 + $D$8, $D$9 - LOG( $D$10 ))</f>
        <v>1425</v>
      </c>
      <c r="E108" s="19">
        <f>ROUND( $E$107 + $E$8, $E$9 - LOG( $E$10 ))</f>
        <v>665</v>
      </c>
      <c r="F108" s="19">
        <f>ROUND( $F$107 + $F$8, $F$9 - LOG( $F$10 ))</f>
        <v>665</v>
      </c>
      <c r="G108" s="19">
        <f>ROUND( $G$107 + $G$8, $G$9 - LOG( $G$10 ))</f>
        <v>665</v>
      </c>
      <c r="H108" s="19">
        <f>ROUND( $H$107 + $H$8, $H$9 - LOG( $H$10 ))</f>
        <v>665</v>
      </c>
      <c r="I108" s="19">
        <f>ROUND( $I$107 + $I$8, $I$9 - LOG( $I$10 ))</f>
        <v>665</v>
      </c>
      <c r="J108" s="19">
        <f>ROUND( $J$107 + $J$8, $J$9 - LOG( $J$10 ))</f>
        <v>665</v>
      </c>
      <c r="K108" s="19">
        <f>ROUND( $K$107 + $K$8, $K$9 - LOG( $K$10 ))</f>
        <v>665</v>
      </c>
      <c r="L108" s="19">
        <f>ROUND( $L$107 + $L$8, $L$9 - LOG( $L$10 ))</f>
        <v>0</v>
      </c>
    </row>
    <row r="109" spans="2:12" outlineLevel="1" x14ac:dyDescent="0.25">
      <c r="B109" s="19">
        <f>ROUND( $B$108 + $B$8, $B$9 - LOG( $B$10 ))</f>
        <v>672</v>
      </c>
      <c r="C109" s="19">
        <f>ROUND( $C$108 + $C$8, $C$9 - LOG( $C$10 ))</f>
        <v>960</v>
      </c>
      <c r="D109" s="19">
        <f>ROUND( $D$108 + $D$8, $D$9 - LOG( $D$10 ))</f>
        <v>1440</v>
      </c>
      <c r="E109" s="19">
        <f>ROUND( $E$108 + $E$8, $E$9 - LOG( $E$10 ))</f>
        <v>672</v>
      </c>
      <c r="F109" s="19">
        <f>ROUND( $F$108 + $F$8, $F$9 - LOG( $F$10 ))</f>
        <v>672</v>
      </c>
      <c r="G109" s="19">
        <f>ROUND( $G$108 + $G$8, $G$9 - LOG( $G$10 ))</f>
        <v>672</v>
      </c>
      <c r="H109" s="19">
        <f>ROUND( $H$108 + $H$8, $H$9 - LOG( $H$10 ))</f>
        <v>672</v>
      </c>
      <c r="I109" s="19">
        <f>ROUND( $I$108 + $I$8, $I$9 - LOG( $I$10 ))</f>
        <v>672</v>
      </c>
      <c r="J109" s="19">
        <f>ROUND( $J$108 + $J$8, $J$9 - LOG( $J$10 ))</f>
        <v>672</v>
      </c>
      <c r="K109" s="19">
        <f>ROUND( $K$108 + $K$8, $K$9 - LOG( $K$10 ))</f>
        <v>672</v>
      </c>
      <c r="L109" s="19">
        <f>ROUND( $L$108 + $L$8, $L$9 - LOG( $L$10 ))</f>
        <v>0</v>
      </c>
    </row>
    <row r="110" spans="2:12" outlineLevel="1" x14ac:dyDescent="0.25">
      <c r="B110" s="19">
        <f>ROUND( $B$109 + $B$8, $B$9 - LOG( $B$10 ))</f>
        <v>679</v>
      </c>
      <c r="C110" s="19">
        <f>ROUND( $C$109 + $C$8, $C$9 - LOG( $C$10 ))</f>
        <v>970</v>
      </c>
      <c r="D110" s="19">
        <f>ROUND( $D$109 + $D$8, $D$9 - LOG( $D$10 ))</f>
        <v>1455</v>
      </c>
      <c r="E110" s="19">
        <f>ROUND( $E$109 + $E$8, $E$9 - LOG( $E$10 ))</f>
        <v>679</v>
      </c>
      <c r="F110" s="19">
        <f>ROUND( $F$109 + $F$8, $F$9 - LOG( $F$10 ))</f>
        <v>679</v>
      </c>
      <c r="G110" s="19">
        <f>ROUND( $G$109 + $G$8, $G$9 - LOG( $G$10 ))</f>
        <v>679</v>
      </c>
      <c r="H110" s="19">
        <f>ROUND( $H$109 + $H$8, $H$9 - LOG( $H$10 ))</f>
        <v>679</v>
      </c>
      <c r="I110" s="19">
        <f>ROUND( $I$109 + $I$8, $I$9 - LOG( $I$10 ))</f>
        <v>679</v>
      </c>
      <c r="J110" s="19">
        <f>ROUND( $J$109 + $J$8, $J$9 - LOG( $J$10 ))</f>
        <v>679</v>
      </c>
      <c r="K110" s="19">
        <f>ROUND( $K$109 + $K$8, $K$9 - LOG( $K$10 ))</f>
        <v>679</v>
      </c>
      <c r="L110" s="19">
        <f>ROUND( $L$109 + $L$8, $L$9 - LOG( $L$10 ))</f>
        <v>0</v>
      </c>
    </row>
    <row r="111" spans="2:12" outlineLevel="1" x14ac:dyDescent="0.25">
      <c r="B111" s="19">
        <f>ROUND( $B$110 + $B$8, $B$9 - LOG( $B$10 ))</f>
        <v>686</v>
      </c>
      <c r="C111" s="19">
        <f>ROUND( $C$110 + $C$8, $C$9 - LOG( $C$10 ))</f>
        <v>980</v>
      </c>
      <c r="D111" s="19">
        <f>ROUND( $D$110 + $D$8, $D$9 - LOG( $D$10 ))</f>
        <v>1470</v>
      </c>
      <c r="E111" s="19">
        <f>ROUND( $E$110 + $E$8, $E$9 - LOG( $E$10 ))</f>
        <v>686</v>
      </c>
      <c r="F111" s="19">
        <f>ROUND( $F$110 + $F$8, $F$9 - LOG( $F$10 ))</f>
        <v>686</v>
      </c>
      <c r="G111" s="19">
        <f>ROUND( $G$110 + $G$8, $G$9 - LOG( $G$10 ))</f>
        <v>686</v>
      </c>
      <c r="H111" s="19">
        <f>ROUND( $H$110 + $H$8, $H$9 - LOG( $H$10 ))</f>
        <v>686</v>
      </c>
      <c r="I111" s="19">
        <f>ROUND( $I$110 + $I$8, $I$9 - LOG( $I$10 ))</f>
        <v>686</v>
      </c>
      <c r="J111" s="19">
        <f>ROUND( $J$110 + $J$8, $J$9 - LOG( $J$10 ))</f>
        <v>686</v>
      </c>
      <c r="K111" s="19">
        <f>ROUND( $K$110 + $K$8, $K$9 - LOG( $K$10 ))</f>
        <v>686</v>
      </c>
      <c r="L111" s="19">
        <f>ROUND( $L$110 + $L$8, $L$9 - LOG( $L$10 ))</f>
        <v>0</v>
      </c>
    </row>
    <row r="112" spans="2:12" outlineLevel="1" x14ac:dyDescent="0.25">
      <c r="B112" s="19">
        <f>ROUND( $B$111 + $B$8, $B$9 - LOG( $B$10 ))</f>
        <v>693</v>
      </c>
      <c r="C112" s="19">
        <f>ROUND( $C$111 + $C$8, $C$9 - LOG( $C$10 ))</f>
        <v>990</v>
      </c>
      <c r="D112" s="19">
        <f>ROUND( $D$111 + $D$8, $D$9 - LOG( $D$10 ))</f>
        <v>1485</v>
      </c>
      <c r="E112" s="19">
        <f>ROUND( $E$111 + $E$8, $E$9 - LOG( $E$10 ))</f>
        <v>693</v>
      </c>
      <c r="F112" s="19">
        <f>ROUND( $F$111 + $F$8, $F$9 - LOG( $F$10 ))</f>
        <v>693</v>
      </c>
      <c r="G112" s="19">
        <f>ROUND( $G$111 + $G$8, $G$9 - LOG( $G$10 ))</f>
        <v>693</v>
      </c>
      <c r="H112" s="19">
        <f>ROUND( $H$111 + $H$8, $H$9 - LOG( $H$10 ))</f>
        <v>693</v>
      </c>
      <c r="I112" s="19">
        <f>ROUND( $I$111 + $I$8, $I$9 - LOG( $I$10 ))</f>
        <v>693</v>
      </c>
      <c r="J112" s="19">
        <f>ROUND( $J$111 + $J$8, $J$9 - LOG( $J$10 ))</f>
        <v>693</v>
      </c>
      <c r="K112" s="19">
        <f>ROUND( $K$111 + $K$8, $K$9 - LOG( $K$10 ))</f>
        <v>693</v>
      </c>
      <c r="L112" s="19">
        <f>ROUND( $L$111 + $L$8, $L$9 - LOG( $L$10 ))</f>
        <v>0</v>
      </c>
    </row>
    <row r="113" spans="2:12" outlineLevel="1" x14ac:dyDescent="0.25">
      <c r="B113" s="19">
        <f>ROUND( $B$112 + $B$8, $B$9 - LOG( $B$10 ))</f>
        <v>700</v>
      </c>
      <c r="C113" s="19">
        <f>ROUND( $C$112 + $C$8, $C$9 - LOG( $C$10 ))</f>
        <v>1000</v>
      </c>
      <c r="D113" s="19">
        <f>ROUND( $D$112 + $D$8, $D$9 - LOG( $D$10 ))</f>
        <v>1500</v>
      </c>
      <c r="E113" s="19">
        <f>ROUND( $E$112 + $E$8, $E$9 - LOG( $E$10 ))</f>
        <v>700</v>
      </c>
      <c r="F113" s="19">
        <f>ROUND( $F$112 + $F$8, $F$9 - LOG( $F$10 ))</f>
        <v>700</v>
      </c>
      <c r="G113" s="19">
        <f>ROUND( $G$112 + $G$8, $G$9 - LOG( $G$10 ))</f>
        <v>700</v>
      </c>
      <c r="H113" s="19">
        <f>ROUND( $H$112 + $H$8, $H$9 - LOG( $H$10 ))</f>
        <v>700</v>
      </c>
      <c r="I113" s="19">
        <f>ROUND( $I$112 + $I$8, $I$9 - LOG( $I$10 ))</f>
        <v>700</v>
      </c>
      <c r="J113" s="19">
        <f>ROUND( $J$112 + $J$8, $J$9 - LOG( $J$10 ))</f>
        <v>700</v>
      </c>
      <c r="K113" s="19">
        <f>ROUND( $K$112 + $K$8, $K$9 - LOG( $K$10 ))</f>
        <v>700</v>
      </c>
      <c r="L113" s="19">
        <f>ROUND( $L$112 + $L$8, $L$9 - LOG( $L$10 ))</f>
        <v>0</v>
      </c>
    </row>
    <row r="114" spans="2:12" outlineLevel="1" x14ac:dyDescent="0.25">
      <c r="B114" s="19">
        <f>ROUND( $B$113 + $B$8, $B$9 - LOG( $B$10 ))</f>
        <v>707</v>
      </c>
      <c r="C114" s="19">
        <f>ROUND( $C$113 + $C$8, $C$9 - LOG( $C$10 ))</f>
        <v>1010</v>
      </c>
      <c r="D114" s="19">
        <f>ROUND( $D$113 + $D$8, $D$9 - LOG( $D$10 ))</f>
        <v>1515</v>
      </c>
      <c r="E114" s="19">
        <f>ROUND( $E$113 + $E$8, $E$9 - LOG( $E$10 ))</f>
        <v>707</v>
      </c>
      <c r="F114" s="19">
        <f>ROUND( $F$113 + $F$8, $F$9 - LOG( $F$10 ))</f>
        <v>707</v>
      </c>
      <c r="G114" s="19">
        <f>ROUND( $G$113 + $G$8, $G$9 - LOG( $G$10 ))</f>
        <v>707</v>
      </c>
      <c r="H114" s="19">
        <f>ROUND( $H$113 + $H$8, $H$9 - LOG( $H$10 ))</f>
        <v>707</v>
      </c>
      <c r="I114" s="19">
        <f>ROUND( $I$113 + $I$8, $I$9 - LOG( $I$10 ))</f>
        <v>707</v>
      </c>
      <c r="J114" s="19">
        <f>ROUND( $J$113 + $J$8, $J$9 - LOG( $J$10 ))</f>
        <v>707</v>
      </c>
      <c r="K114" s="19">
        <f>ROUND( $K$113 + $K$8, $K$9 - LOG( $K$10 ))</f>
        <v>707</v>
      </c>
      <c r="L114" s="19">
        <f>ROUND( $L$113 + $L$8, $L$9 - LOG( $L$10 ))</f>
        <v>0</v>
      </c>
    </row>
    <row r="115" spans="2:12" x14ac:dyDescent="0.25">
      <c r="B115">
        <f>ROUND( $B$114 + $B$8, $B$9 - LOG( $B$10 ))</f>
        <v>714</v>
      </c>
      <c r="C115">
        <f>ROUND( $C$114 + $C$8, $C$9 - LOG( $C$10 ))</f>
        <v>1020</v>
      </c>
      <c r="D115">
        <f>ROUND( $D$114 + $D$8, $D$9 - LOG( $D$10 ))</f>
        <v>1530</v>
      </c>
      <c r="E115">
        <f>ROUND( $E$114 + $E$8, $E$9 - LOG( $E$10 ))</f>
        <v>714</v>
      </c>
      <c r="F115">
        <f>ROUND( $F$114 + $F$8, $F$9 - LOG( $F$10 ))</f>
        <v>714</v>
      </c>
      <c r="G115">
        <f>ROUND( $G$114 + $G$8, $G$9 - LOG( $G$10 ))</f>
        <v>714</v>
      </c>
      <c r="H115">
        <f>ROUND( $H$114 + $H$8, $H$9 - LOG( $H$10 ))</f>
        <v>714</v>
      </c>
      <c r="I115">
        <f>ROUND( $I$114 + $I$8, $I$9 - LOG( $I$10 ))</f>
        <v>714</v>
      </c>
      <c r="J115">
        <f>ROUND( $J$114 + $J$8, $J$9 - LOG( $J$10 ))</f>
        <v>714</v>
      </c>
      <c r="K115">
        <f>ROUND( $K$114 + $K$8, $K$9 - LOG( $K$10 ))</f>
        <v>714</v>
      </c>
      <c r="L115">
        <f>ROUND( $L$114 + $L$8, $L$9 - LOG( $L$10 ))</f>
        <v>0</v>
      </c>
    </row>
    <row r="116" spans="2:12" outlineLevel="1" x14ac:dyDescent="0.25">
      <c r="B116" s="20">
        <f t="array" ref="B116:B217">FREQUENCY( Risk_1, PM_Risk_1_bins ) / COUNT( Risk_1 )</f>
        <v>0.1</v>
      </c>
      <c r="C116" s="20">
        <f t="array" ref="C116:C217">FREQUENCY( Risk_2, PM_Risk_2_bins ) / COUNT( Risk_2 )</f>
        <v>0.14799999999999999</v>
      </c>
      <c r="D116" s="20">
        <f t="array" ref="D116:D217">FREQUENCY( Risk_3, PM_Risk_3_bins ) / COUNT( Risk_3 )</f>
        <v>0.29599999999999999</v>
      </c>
      <c r="E116" s="20">
        <f t="array" ref="E116:E217">FREQUENCY( Risk_4, PM_Risk_4_bins ) / COUNT( Risk_4 )</f>
        <v>0.193</v>
      </c>
      <c r="F116" s="20">
        <f t="array" ref="F116:F217">FREQUENCY( Risk_5, PM_Risk_5_bins ) / COUNT( Risk_5 )</f>
        <v>0.89900000000000002</v>
      </c>
      <c r="G116" s="20">
        <f t="array" ref="G116:G217">FREQUENCY( Risk_6, PM_Risk_6_bins ) / COUNT( Risk_6 )</f>
        <v>0.76400000000000001</v>
      </c>
      <c r="H116" s="20">
        <f t="array" ref="H116:H217">FREQUENCY( Risk_7, PM_Risk_7_bins ) / COUNT( Risk_7 )</f>
        <v>0.57999999999999996</v>
      </c>
      <c r="I116" s="20">
        <f t="array" ref="I116:I217">FREQUENCY( Risk_8, PM_Risk_8_bins ) / COUNT( Risk_8 )</f>
        <v>0.80700000000000005</v>
      </c>
      <c r="J116" s="20">
        <f t="array" ref="J116:J217">FREQUENCY( Risk_9, PM_Risk_9_bins ) / COUNT( Risk_9 )</f>
        <v>0.19400000000000001</v>
      </c>
      <c r="K116" s="20">
        <f t="array" ref="K116:K217">FREQUENCY( Risk_10, PM_Risk_10_bins ) / COUNT( Risk_10 )</f>
        <v>0.90600000000000003</v>
      </c>
      <c r="L116" s="20">
        <f t="array" ref="L116:L217">FREQUENCY( Total, PM_Total_bins ) / COUNT( Total )</f>
        <v>1</v>
      </c>
    </row>
    <row r="117" spans="2:12" outlineLevel="1" x14ac:dyDescent="0.25">
      <c r="B117" s="20">
        <v>5.0000000000000001E-3</v>
      </c>
      <c r="C117" s="20">
        <v>0</v>
      </c>
      <c r="D117" s="20">
        <v>0</v>
      </c>
      <c r="E117" s="20">
        <v>2E-3</v>
      </c>
      <c r="F117" s="20">
        <v>0</v>
      </c>
      <c r="G117" s="20">
        <v>1E-3</v>
      </c>
      <c r="H117" s="20">
        <v>1E-3</v>
      </c>
      <c r="I117" s="20">
        <v>2E-3</v>
      </c>
      <c r="J117" s="20">
        <v>2E-3</v>
      </c>
      <c r="K117" s="20">
        <v>1E-3</v>
      </c>
      <c r="L117" s="20">
        <v>0</v>
      </c>
    </row>
    <row r="118" spans="2:12" outlineLevel="1" x14ac:dyDescent="0.25">
      <c r="B118" s="20">
        <v>4.8000000000000001E-2</v>
      </c>
      <c r="C118" s="20">
        <v>0</v>
      </c>
      <c r="D118" s="20">
        <v>0</v>
      </c>
      <c r="E118" s="20">
        <v>2.8000000000000001E-2</v>
      </c>
      <c r="F118" s="20">
        <v>2E-3</v>
      </c>
      <c r="G118" s="20">
        <v>0.01</v>
      </c>
      <c r="H118" s="20">
        <v>1.2999999999999999E-2</v>
      </c>
      <c r="I118" s="20">
        <v>7.0000000000000001E-3</v>
      </c>
      <c r="J118" s="20">
        <v>2.9000000000000001E-2</v>
      </c>
      <c r="K118" s="20">
        <v>3.0000000000000001E-3</v>
      </c>
      <c r="L118" s="20">
        <v>0</v>
      </c>
    </row>
    <row r="119" spans="2:12" outlineLevel="1" x14ac:dyDescent="0.25">
      <c r="B119" s="20">
        <v>6.4000000000000001E-2</v>
      </c>
      <c r="C119" s="20">
        <v>0</v>
      </c>
      <c r="D119" s="20">
        <v>0</v>
      </c>
      <c r="E119" s="20">
        <v>6.3E-2</v>
      </c>
      <c r="F119" s="20">
        <v>7.0000000000000001E-3</v>
      </c>
      <c r="G119" s="20">
        <v>2.3E-2</v>
      </c>
      <c r="H119" s="20">
        <v>2.8000000000000001E-2</v>
      </c>
      <c r="I119" s="20">
        <v>0.02</v>
      </c>
      <c r="J119" s="20">
        <v>0.06</v>
      </c>
      <c r="K119" s="20">
        <v>4.0000000000000001E-3</v>
      </c>
      <c r="L119" s="20">
        <v>0</v>
      </c>
    </row>
    <row r="120" spans="2:12" outlineLevel="1" x14ac:dyDescent="0.25">
      <c r="B120" s="20">
        <v>0.12</v>
      </c>
      <c r="C120" s="20">
        <v>0</v>
      </c>
      <c r="D120" s="20">
        <v>8.1000000000000003E-2</v>
      </c>
      <c r="E120" s="20">
        <v>0.105</v>
      </c>
      <c r="F120" s="20">
        <v>8.9999999999999993E-3</v>
      </c>
      <c r="G120" s="20">
        <v>0.04</v>
      </c>
      <c r="H120" s="20">
        <v>6.2E-2</v>
      </c>
      <c r="I120" s="20">
        <v>2.1999999999999999E-2</v>
      </c>
      <c r="J120" s="20">
        <v>9.6000000000000002E-2</v>
      </c>
      <c r="K120" s="20">
        <v>8.9999999999999993E-3</v>
      </c>
      <c r="L120" s="20">
        <v>0</v>
      </c>
    </row>
    <row r="121" spans="2:12" outlineLevel="1" x14ac:dyDescent="0.25">
      <c r="B121" s="20">
        <v>0.14299999999999999</v>
      </c>
      <c r="C121" s="20">
        <v>7.3999999999999996E-2</v>
      </c>
      <c r="D121" s="20">
        <v>0.224</v>
      </c>
      <c r="E121" s="20">
        <v>0.14599999999999999</v>
      </c>
      <c r="F121" s="20">
        <v>1.7999999999999999E-2</v>
      </c>
      <c r="G121" s="20">
        <v>3.7999999999999999E-2</v>
      </c>
      <c r="H121" s="20">
        <v>7.3999999999999996E-2</v>
      </c>
      <c r="I121" s="20">
        <v>0.04</v>
      </c>
      <c r="J121" s="20">
        <v>0.112</v>
      </c>
      <c r="K121" s="20">
        <v>0.02</v>
      </c>
      <c r="L121" s="20">
        <v>0</v>
      </c>
    </row>
    <row r="122" spans="2:12" outlineLevel="1" x14ac:dyDescent="0.25">
      <c r="B122" s="20">
        <v>0.20799999999999999</v>
      </c>
      <c r="C122" s="20">
        <v>0.249</v>
      </c>
      <c r="D122" s="20">
        <v>0.17599999999999999</v>
      </c>
      <c r="E122" s="20">
        <v>0.17899999999999999</v>
      </c>
      <c r="F122" s="20">
        <v>2.3E-2</v>
      </c>
      <c r="G122" s="20">
        <v>4.5999999999999999E-2</v>
      </c>
      <c r="H122" s="20">
        <v>8.1000000000000003E-2</v>
      </c>
      <c r="I122" s="20">
        <v>4.1000000000000002E-2</v>
      </c>
      <c r="J122" s="20">
        <v>0.18</v>
      </c>
      <c r="K122" s="20">
        <v>2.1000000000000001E-2</v>
      </c>
      <c r="L122" s="20">
        <v>0</v>
      </c>
    </row>
    <row r="123" spans="2:12" outlineLevel="1" x14ac:dyDescent="0.25">
      <c r="B123" s="20">
        <v>0.155</v>
      </c>
      <c r="C123" s="20">
        <v>0.29099999999999998</v>
      </c>
      <c r="D123" s="20">
        <v>0.125</v>
      </c>
      <c r="E123" s="20">
        <v>0.16300000000000001</v>
      </c>
      <c r="F123" s="20">
        <v>2.7E-2</v>
      </c>
      <c r="G123" s="20">
        <v>3.9E-2</v>
      </c>
      <c r="H123" s="20">
        <v>8.5000000000000006E-2</v>
      </c>
      <c r="I123" s="20">
        <v>3.3000000000000002E-2</v>
      </c>
      <c r="J123" s="20">
        <v>0.188</v>
      </c>
      <c r="K123" s="20">
        <v>2.1999999999999999E-2</v>
      </c>
      <c r="L123" s="20">
        <v>0</v>
      </c>
    </row>
    <row r="124" spans="2:12" outlineLevel="1" x14ac:dyDescent="0.25">
      <c r="B124" s="20">
        <v>0.121</v>
      </c>
      <c r="C124" s="20">
        <v>0.17799999999999999</v>
      </c>
      <c r="D124" s="20">
        <v>7.6999999999999999E-2</v>
      </c>
      <c r="E124" s="20">
        <v>8.7999999999999995E-2</v>
      </c>
      <c r="F124" s="20">
        <v>8.9999999999999993E-3</v>
      </c>
      <c r="G124" s="20">
        <v>3.2000000000000001E-2</v>
      </c>
      <c r="H124" s="20">
        <v>5.7000000000000002E-2</v>
      </c>
      <c r="I124" s="20">
        <v>0.02</v>
      </c>
      <c r="J124" s="20">
        <v>0.1</v>
      </c>
      <c r="K124" s="20">
        <v>0.01</v>
      </c>
      <c r="L124" s="20">
        <v>0</v>
      </c>
    </row>
    <row r="125" spans="2:12" outlineLevel="1" x14ac:dyDescent="0.25">
      <c r="B125" s="20">
        <v>3.5999999999999997E-2</v>
      </c>
      <c r="C125" s="20">
        <v>0.06</v>
      </c>
      <c r="D125" s="20">
        <v>2.1000000000000001E-2</v>
      </c>
      <c r="E125" s="20">
        <v>3.3000000000000002E-2</v>
      </c>
      <c r="F125" s="20">
        <v>6.0000000000000001E-3</v>
      </c>
      <c r="G125" s="20">
        <v>7.0000000000000001E-3</v>
      </c>
      <c r="H125" s="20">
        <v>1.9E-2</v>
      </c>
      <c r="I125" s="20">
        <v>8.0000000000000002E-3</v>
      </c>
      <c r="J125" s="20">
        <v>3.9E-2</v>
      </c>
      <c r="K125" s="20">
        <v>4.0000000000000001E-3</v>
      </c>
      <c r="L125" s="20">
        <v>0</v>
      </c>
    </row>
    <row r="126" spans="2:12" outlineLevel="1" x14ac:dyDescent="0.25"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</row>
    <row r="127" spans="2:12" outlineLevel="1" x14ac:dyDescent="0.25"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</row>
    <row r="128" spans="2:12" outlineLevel="1" x14ac:dyDescent="0.25"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</row>
    <row r="129" spans="2:12" outlineLevel="1" x14ac:dyDescent="0.25"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</row>
    <row r="130" spans="2:12" outlineLevel="1" x14ac:dyDescent="0.25"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</row>
    <row r="131" spans="2:12" outlineLevel="1" x14ac:dyDescent="0.25"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</row>
    <row r="132" spans="2:12" outlineLevel="1" x14ac:dyDescent="0.25"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</row>
    <row r="133" spans="2:12" outlineLevel="1" x14ac:dyDescent="0.25"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</row>
    <row r="134" spans="2:12" outlineLevel="1" x14ac:dyDescent="0.25"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</row>
    <row r="135" spans="2:12" outlineLevel="1" x14ac:dyDescent="0.25"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</row>
    <row r="136" spans="2:12" outlineLevel="1" x14ac:dyDescent="0.25"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</row>
    <row r="137" spans="2:12" outlineLevel="1" x14ac:dyDescent="0.25"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</row>
    <row r="138" spans="2:12" outlineLevel="1" x14ac:dyDescent="0.25"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</row>
    <row r="139" spans="2:12" outlineLevel="1" x14ac:dyDescent="0.25"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</row>
    <row r="140" spans="2:12" outlineLevel="1" x14ac:dyDescent="0.25"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</row>
    <row r="141" spans="2:12" outlineLevel="1" x14ac:dyDescent="0.25"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</row>
    <row r="142" spans="2:12" outlineLevel="1" x14ac:dyDescent="0.25"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</row>
    <row r="143" spans="2:12" outlineLevel="1" x14ac:dyDescent="0.25"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</row>
    <row r="144" spans="2:12" outlineLevel="1" x14ac:dyDescent="0.25"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</row>
    <row r="145" spans="2:12" outlineLevel="1" x14ac:dyDescent="0.25"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</row>
    <row r="146" spans="2:12" outlineLevel="1" x14ac:dyDescent="0.25"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</row>
    <row r="147" spans="2:12" outlineLevel="1" x14ac:dyDescent="0.25"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</row>
    <row r="148" spans="2:12" outlineLevel="1" x14ac:dyDescent="0.25"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</row>
    <row r="149" spans="2:12" outlineLevel="1" x14ac:dyDescent="0.25"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</row>
    <row r="150" spans="2:12" outlineLevel="1" x14ac:dyDescent="0.25"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</row>
    <row r="151" spans="2:12" outlineLevel="1" x14ac:dyDescent="0.25"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</row>
    <row r="152" spans="2:12" outlineLevel="1" x14ac:dyDescent="0.25"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</row>
    <row r="153" spans="2:12" outlineLevel="1" x14ac:dyDescent="0.25"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</row>
    <row r="154" spans="2:12" outlineLevel="1" x14ac:dyDescent="0.25"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</row>
    <row r="155" spans="2:12" outlineLevel="1" x14ac:dyDescent="0.25"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</row>
    <row r="156" spans="2:12" outlineLevel="1" x14ac:dyDescent="0.25"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</row>
    <row r="157" spans="2:12" outlineLevel="1" x14ac:dyDescent="0.25"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</row>
    <row r="158" spans="2:12" outlineLevel="1" x14ac:dyDescent="0.25"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</row>
    <row r="159" spans="2:12" outlineLevel="1" x14ac:dyDescent="0.25"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</row>
    <row r="160" spans="2:12" outlineLevel="1" x14ac:dyDescent="0.25"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</row>
    <row r="161" spans="2:12" outlineLevel="1" x14ac:dyDescent="0.25"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</row>
    <row r="162" spans="2:12" outlineLevel="1" x14ac:dyDescent="0.25"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</row>
    <row r="163" spans="2:12" outlineLevel="1" x14ac:dyDescent="0.25"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</row>
    <row r="164" spans="2:12" outlineLevel="1" x14ac:dyDescent="0.25">
      <c r="B164" s="20">
        <v>0</v>
      </c>
      <c r="C164" s="20">
        <v>0</v>
      </c>
      <c r="D164" s="20">
        <v>0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</row>
    <row r="165" spans="2:12" outlineLevel="1" x14ac:dyDescent="0.25"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</row>
    <row r="166" spans="2:12" outlineLevel="1" x14ac:dyDescent="0.25"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</row>
    <row r="167" spans="2:12" outlineLevel="1" x14ac:dyDescent="0.25"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</row>
    <row r="168" spans="2:12" outlineLevel="1" x14ac:dyDescent="0.25"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</row>
    <row r="169" spans="2:12" outlineLevel="1" x14ac:dyDescent="0.25">
      <c r="B169" s="20">
        <v>0</v>
      </c>
      <c r="C169" s="20">
        <v>0</v>
      </c>
      <c r="D169" s="20">
        <v>0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</row>
    <row r="170" spans="2:12" outlineLevel="1" x14ac:dyDescent="0.25">
      <c r="B170" s="20">
        <v>0</v>
      </c>
      <c r="C170" s="20">
        <v>0</v>
      </c>
      <c r="D170" s="20">
        <v>0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</row>
    <row r="171" spans="2:12" outlineLevel="1" x14ac:dyDescent="0.25">
      <c r="B171" s="20">
        <v>0</v>
      </c>
      <c r="C171" s="20">
        <v>0</v>
      </c>
      <c r="D171" s="20">
        <v>0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</row>
    <row r="172" spans="2:12" outlineLevel="1" x14ac:dyDescent="0.25">
      <c r="B172" s="20">
        <v>0</v>
      </c>
      <c r="C172" s="20">
        <v>0</v>
      </c>
      <c r="D172" s="20">
        <v>0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</row>
    <row r="173" spans="2:12" outlineLevel="1" x14ac:dyDescent="0.25">
      <c r="B173" s="20">
        <v>0</v>
      </c>
      <c r="C173" s="20">
        <v>0</v>
      </c>
      <c r="D173" s="20">
        <v>0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</row>
    <row r="174" spans="2:12" outlineLevel="1" x14ac:dyDescent="0.25">
      <c r="B174" s="20">
        <v>0</v>
      </c>
      <c r="C174" s="20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</row>
    <row r="175" spans="2:12" outlineLevel="1" x14ac:dyDescent="0.25"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</row>
    <row r="176" spans="2:12" outlineLevel="1" x14ac:dyDescent="0.25"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</row>
    <row r="177" spans="2:12" outlineLevel="1" x14ac:dyDescent="0.25">
      <c r="B177" s="20">
        <v>0</v>
      </c>
      <c r="C177" s="20">
        <v>0</v>
      </c>
      <c r="D177" s="20">
        <v>0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</row>
    <row r="178" spans="2:12" outlineLevel="1" x14ac:dyDescent="0.25">
      <c r="B178" s="20">
        <v>0</v>
      </c>
      <c r="C178" s="20">
        <v>0</v>
      </c>
      <c r="D178" s="20">
        <v>0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</row>
    <row r="179" spans="2:12" outlineLevel="1" x14ac:dyDescent="0.25"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</row>
    <row r="180" spans="2:12" outlineLevel="1" x14ac:dyDescent="0.25"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</row>
    <row r="181" spans="2:12" outlineLevel="1" x14ac:dyDescent="0.25"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</row>
    <row r="182" spans="2:12" outlineLevel="1" x14ac:dyDescent="0.25"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</row>
    <row r="183" spans="2:12" outlineLevel="1" x14ac:dyDescent="0.25"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</row>
    <row r="184" spans="2:12" outlineLevel="1" x14ac:dyDescent="0.25"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</row>
    <row r="185" spans="2:12" outlineLevel="1" x14ac:dyDescent="0.25"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</row>
    <row r="186" spans="2:12" outlineLevel="1" x14ac:dyDescent="0.25"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</row>
    <row r="187" spans="2:12" outlineLevel="1" x14ac:dyDescent="0.25"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</row>
    <row r="188" spans="2:12" outlineLevel="1" x14ac:dyDescent="0.25"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</row>
    <row r="189" spans="2:12" outlineLevel="1" x14ac:dyDescent="0.25">
      <c r="B189" s="20">
        <v>0</v>
      </c>
      <c r="C189" s="20">
        <v>0</v>
      </c>
      <c r="D189" s="20">
        <v>0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</row>
    <row r="190" spans="2:12" outlineLevel="1" x14ac:dyDescent="0.25">
      <c r="B190" s="20">
        <v>0</v>
      </c>
      <c r="C190" s="20">
        <v>0</v>
      </c>
      <c r="D190" s="20">
        <v>0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</row>
    <row r="191" spans="2:12" outlineLevel="1" x14ac:dyDescent="0.25">
      <c r="B191" s="20">
        <v>0</v>
      </c>
      <c r="C191" s="20">
        <v>0</v>
      </c>
      <c r="D191" s="20">
        <v>0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</row>
    <row r="192" spans="2:12" outlineLevel="1" x14ac:dyDescent="0.25">
      <c r="B192" s="20">
        <v>0</v>
      </c>
      <c r="C192" s="20">
        <v>0</v>
      </c>
      <c r="D192" s="20">
        <v>0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</row>
    <row r="193" spans="2:12" outlineLevel="1" x14ac:dyDescent="0.25">
      <c r="B193" s="20">
        <v>0</v>
      </c>
      <c r="C193" s="20">
        <v>0</v>
      </c>
      <c r="D193" s="20">
        <v>0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</row>
    <row r="194" spans="2:12" outlineLevel="1" x14ac:dyDescent="0.25"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</row>
    <row r="195" spans="2:12" outlineLevel="1" x14ac:dyDescent="0.25">
      <c r="B195" s="20">
        <v>0</v>
      </c>
      <c r="C195" s="20">
        <v>0</v>
      </c>
      <c r="D195" s="20">
        <v>0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</row>
    <row r="196" spans="2:12" outlineLevel="1" x14ac:dyDescent="0.25">
      <c r="B196" s="20">
        <v>0</v>
      </c>
      <c r="C196" s="20">
        <v>0</v>
      </c>
      <c r="D196" s="20">
        <v>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</row>
    <row r="197" spans="2:12" outlineLevel="1" x14ac:dyDescent="0.25">
      <c r="B197" s="20">
        <v>0</v>
      </c>
      <c r="C197" s="20">
        <v>0</v>
      </c>
      <c r="D197" s="20">
        <v>0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</row>
    <row r="198" spans="2:12" outlineLevel="1" x14ac:dyDescent="0.25">
      <c r="B198" s="20">
        <v>0</v>
      </c>
      <c r="C198" s="20">
        <v>0</v>
      </c>
      <c r="D198" s="20">
        <v>0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</row>
    <row r="199" spans="2:12" outlineLevel="1" x14ac:dyDescent="0.25">
      <c r="B199" s="20">
        <v>0</v>
      </c>
      <c r="C199" s="20">
        <v>0</v>
      </c>
      <c r="D199" s="20">
        <v>0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</row>
    <row r="200" spans="2:12" outlineLevel="1" x14ac:dyDescent="0.25">
      <c r="B200" s="20">
        <v>0</v>
      </c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</row>
    <row r="201" spans="2:12" outlineLevel="1" x14ac:dyDescent="0.25"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</row>
    <row r="202" spans="2:12" outlineLevel="1" x14ac:dyDescent="0.25">
      <c r="B202" s="20">
        <v>0</v>
      </c>
      <c r="C202" s="20">
        <v>0</v>
      </c>
      <c r="D202" s="20">
        <v>0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</row>
    <row r="203" spans="2:12" outlineLevel="1" x14ac:dyDescent="0.25">
      <c r="B203" s="20">
        <v>0</v>
      </c>
      <c r="C203" s="20">
        <v>0</v>
      </c>
      <c r="D203" s="20">
        <v>0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</row>
    <row r="204" spans="2:12" outlineLevel="1" x14ac:dyDescent="0.25">
      <c r="B204" s="20">
        <v>0</v>
      </c>
      <c r="C204" s="20">
        <v>0</v>
      </c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</row>
    <row r="205" spans="2:12" outlineLevel="1" x14ac:dyDescent="0.25"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</row>
    <row r="206" spans="2:12" outlineLevel="1" x14ac:dyDescent="0.25">
      <c r="B206" s="20">
        <v>0</v>
      </c>
      <c r="C206" s="20">
        <v>0</v>
      </c>
      <c r="D206" s="20">
        <v>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</row>
    <row r="207" spans="2:12" outlineLevel="1" x14ac:dyDescent="0.25">
      <c r="B207" s="20">
        <v>0</v>
      </c>
      <c r="C207" s="20">
        <v>0</v>
      </c>
      <c r="D207" s="20">
        <v>0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</row>
    <row r="208" spans="2:12" outlineLevel="1" x14ac:dyDescent="0.25">
      <c r="B208" s="20">
        <v>0</v>
      </c>
      <c r="C208" s="20">
        <v>0</v>
      </c>
      <c r="D208" s="20">
        <v>0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</row>
    <row r="209" spans="2:12" outlineLevel="1" x14ac:dyDescent="0.25">
      <c r="B209" s="20">
        <v>0</v>
      </c>
      <c r="C209" s="20">
        <v>0</v>
      </c>
      <c r="D209" s="20">
        <v>0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</row>
    <row r="210" spans="2:12" outlineLevel="1" x14ac:dyDescent="0.25">
      <c r="B210" s="20">
        <v>0</v>
      </c>
      <c r="C210" s="20">
        <v>0</v>
      </c>
      <c r="D210" s="20">
        <v>0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</row>
    <row r="211" spans="2:12" outlineLevel="1" x14ac:dyDescent="0.25">
      <c r="B211" s="20">
        <v>0</v>
      </c>
      <c r="C211" s="20">
        <v>0</v>
      </c>
      <c r="D211" s="20">
        <v>0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</row>
    <row r="212" spans="2:12" outlineLevel="1" x14ac:dyDescent="0.25"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</row>
    <row r="213" spans="2:12" outlineLevel="1" x14ac:dyDescent="0.25">
      <c r="B213" s="20">
        <v>0</v>
      </c>
      <c r="C213" s="20">
        <v>0</v>
      </c>
      <c r="D213" s="20">
        <v>0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</row>
    <row r="214" spans="2:12" outlineLevel="1" x14ac:dyDescent="0.25"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</row>
    <row r="215" spans="2:12" outlineLevel="1" x14ac:dyDescent="0.25">
      <c r="B215" s="20">
        <v>0</v>
      </c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</row>
    <row r="216" spans="2:12" outlineLevel="1" x14ac:dyDescent="0.25"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</row>
    <row r="217" spans="2:12" outlineLevel="1" x14ac:dyDescent="0.25">
      <c r="B217" s="20">
        <v>0</v>
      </c>
      <c r="C217" s="20">
        <v>0</v>
      </c>
      <c r="D217" s="20">
        <v>0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</row>
    <row r="219" spans="2:12" outlineLevel="1" x14ac:dyDescent="0.25">
      <c r="B219" s="21" t="str">
        <f t="shared" ref="B219:B250" si="0">IF($B$4, $B14, $B13 / $B$10 &amp; REPT( " ", $B$7 ))</f>
        <v xml:space="preserve">0          </v>
      </c>
      <c r="C219" s="21" t="str">
        <f t="shared" ref="C219:C250" si="1">IF($C$4, $C14, $C13 / $C$10 &amp; REPT( " ", $C$7 ))</f>
        <v xml:space="preserve">0          </v>
      </c>
      <c r="D219" s="21" t="str">
        <f t="shared" ref="D219:D250" si="2">IF($D$4, $D14, $D13 / $D$10 &amp; REPT( " ", $D$7 ))</f>
        <v xml:space="preserve">0          </v>
      </c>
      <c r="E219" s="21" t="str">
        <f t="shared" ref="E219:E250" si="3">IF($E$4, $E14, $E13 / $E$10 &amp; REPT( " ", $E$7 ))</f>
        <v xml:space="preserve">0          </v>
      </c>
      <c r="F219" s="21" t="str">
        <f t="shared" ref="F219:F250" si="4">IF($F$4, $F14, $F13 / $F$10 &amp; REPT( " ", $F$7 ))</f>
        <v xml:space="preserve">0          </v>
      </c>
      <c r="G219" s="21" t="str">
        <f t="shared" ref="G219:G250" si="5">IF($G$4, $G14, $G13 / $G$10 &amp; REPT( " ", $G$7 ))</f>
        <v xml:space="preserve">0          </v>
      </c>
      <c r="H219" s="21" t="str">
        <f t="shared" ref="H219:H250" si="6">IF($H$4, $H14, $H13 / $H$10 &amp; REPT( " ", $H$7 ))</f>
        <v xml:space="preserve">0          </v>
      </c>
      <c r="I219" s="21" t="str">
        <f t="shared" ref="I219:I250" si="7">IF($I$4, $I14, $I13 / $I$10 &amp; REPT( " ", $I$7 ))</f>
        <v xml:space="preserve">0          </v>
      </c>
      <c r="J219" s="21" t="str">
        <f t="shared" ref="J219:J250" si="8">IF($J$4, $J14, $J13 / $J$10 &amp; REPT( " ", $J$7 ))</f>
        <v xml:space="preserve">0          </v>
      </c>
      <c r="K219" s="21" t="str">
        <f t="shared" ref="K219:K250" si="9">IF($K$4, $K14, $K13 / $K$10 &amp; REPT( " ", $K$7 ))</f>
        <v xml:space="preserve">0          </v>
      </c>
      <c r="L219" s="21" t="str">
        <f t="shared" ref="L219:L250" si="10">IF($L$4, $L14, $L13 / $L$10 &amp; REPT( " ", $L$7 ))</f>
        <v xml:space="preserve">0          </v>
      </c>
    </row>
    <row r="220" spans="2:12" outlineLevel="1" x14ac:dyDescent="0.25">
      <c r="B220" s="21" t="str">
        <f t="shared" si="0"/>
        <v xml:space="preserve">7          </v>
      </c>
      <c r="C220" s="21" t="str">
        <f t="shared" si="1"/>
        <v xml:space="preserve">10          </v>
      </c>
      <c r="D220" s="21" t="str">
        <f t="shared" si="2"/>
        <v xml:space="preserve">15          </v>
      </c>
      <c r="E220" s="21" t="str">
        <f t="shared" si="3"/>
        <v xml:space="preserve">7          </v>
      </c>
      <c r="F220" s="21" t="str">
        <f t="shared" si="4"/>
        <v xml:space="preserve">7          </v>
      </c>
      <c r="G220" s="21" t="str">
        <f t="shared" si="5"/>
        <v xml:space="preserve">7          </v>
      </c>
      <c r="H220" s="21" t="str">
        <f t="shared" si="6"/>
        <v xml:space="preserve">7          </v>
      </c>
      <c r="I220" s="21" t="str">
        <f t="shared" si="7"/>
        <v xml:space="preserve">7          </v>
      </c>
      <c r="J220" s="21" t="str">
        <f t="shared" si="8"/>
        <v xml:space="preserve">7          </v>
      </c>
      <c r="K220" s="21" t="str">
        <f t="shared" si="9"/>
        <v xml:space="preserve">7          </v>
      </c>
      <c r="L220" s="21" t="str">
        <f t="shared" si="10"/>
        <v xml:space="preserve">0          </v>
      </c>
    </row>
    <row r="221" spans="2:12" outlineLevel="1" x14ac:dyDescent="0.25">
      <c r="B221" s="21" t="str">
        <f t="shared" si="0"/>
        <v xml:space="preserve">14          </v>
      </c>
      <c r="C221" s="21" t="str">
        <f t="shared" si="1"/>
        <v xml:space="preserve">20          </v>
      </c>
      <c r="D221" s="21" t="str">
        <f t="shared" si="2"/>
        <v xml:space="preserve">30          </v>
      </c>
      <c r="E221" s="21" t="str">
        <f t="shared" si="3"/>
        <v xml:space="preserve">14          </v>
      </c>
      <c r="F221" s="21" t="str">
        <f t="shared" si="4"/>
        <v xml:space="preserve">14          </v>
      </c>
      <c r="G221" s="21" t="str">
        <f t="shared" si="5"/>
        <v xml:space="preserve">14          </v>
      </c>
      <c r="H221" s="21" t="str">
        <f t="shared" si="6"/>
        <v xml:space="preserve">14          </v>
      </c>
      <c r="I221" s="21" t="str">
        <f t="shared" si="7"/>
        <v xml:space="preserve">14          </v>
      </c>
      <c r="J221" s="21" t="str">
        <f t="shared" si="8"/>
        <v xml:space="preserve">14          </v>
      </c>
      <c r="K221" s="21" t="str">
        <f t="shared" si="9"/>
        <v xml:space="preserve">14          </v>
      </c>
      <c r="L221" s="21" t="str">
        <f t="shared" si="10"/>
        <v xml:space="preserve">0          </v>
      </c>
    </row>
    <row r="222" spans="2:12" outlineLevel="1" x14ac:dyDescent="0.25">
      <c r="B222" s="21" t="str">
        <f t="shared" si="0"/>
        <v xml:space="preserve">21          </v>
      </c>
      <c r="C222" s="21" t="str">
        <f t="shared" si="1"/>
        <v xml:space="preserve">30          </v>
      </c>
      <c r="D222" s="21" t="str">
        <f t="shared" si="2"/>
        <v xml:space="preserve">45          </v>
      </c>
      <c r="E222" s="21" t="str">
        <f t="shared" si="3"/>
        <v xml:space="preserve">21          </v>
      </c>
      <c r="F222" s="21" t="str">
        <f t="shared" si="4"/>
        <v xml:space="preserve">21          </v>
      </c>
      <c r="G222" s="21" t="str">
        <f t="shared" si="5"/>
        <v xml:space="preserve">21          </v>
      </c>
      <c r="H222" s="21" t="str">
        <f t="shared" si="6"/>
        <v xml:space="preserve">21          </v>
      </c>
      <c r="I222" s="21" t="str">
        <f t="shared" si="7"/>
        <v xml:space="preserve">21          </v>
      </c>
      <c r="J222" s="21" t="str">
        <f t="shared" si="8"/>
        <v xml:space="preserve">21          </v>
      </c>
      <c r="K222" s="21" t="str">
        <f t="shared" si="9"/>
        <v xml:space="preserve">21          </v>
      </c>
      <c r="L222" s="21" t="str">
        <f t="shared" si="10"/>
        <v xml:space="preserve">0          </v>
      </c>
    </row>
    <row r="223" spans="2:12" outlineLevel="1" x14ac:dyDescent="0.25">
      <c r="B223" s="21" t="str">
        <f t="shared" si="0"/>
        <v xml:space="preserve">28          </v>
      </c>
      <c r="C223" s="21" t="str">
        <f t="shared" si="1"/>
        <v xml:space="preserve">40          </v>
      </c>
      <c r="D223" s="21" t="str">
        <f t="shared" si="2"/>
        <v xml:space="preserve">60          </v>
      </c>
      <c r="E223" s="21" t="str">
        <f t="shared" si="3"/>
        <v xml:space="preserve">28          </v>
      </c>
      <c r="F223" s="21" t="str">
        <f t="shared" si="4"/>
        <v xml:space="preserve">28          </v>
      </c>
      <c r="G223" s="21" t="str">
        <f t="shared" si="5"/>
        <v xml:space="preserve">28          </v>
      </c>
      <c r="H223" s="21" t="str">
        <f t="shared" si="6"/>
        <v xml:space="preserve">28          </v>
      </c>
      <c r="I223" s="21" t="str">
        <f t="shared" si="7"/>
        <v xml:space="preserve">28          </v>
      </c>
      <c r="J223" s="21" t="str">
        <f t="shared" si="8"/>
        <v xml:space="preserve">28          </v>
      </c>
      <c r="K223" s="21" t="str">
        <f t="shared" si="9"/>
        <v xml:space="preserve">28          </v>
      </c>
      <c r="L223" s="21" t="str">
        <f t="shared" si="10"/>
        <v xml:space="preserve">0          </v>
      </c>
    </row>
    <row r="224" spans="2:12" outlineLevel="1" x14ac:dyDescent="0.25">
      <c r="B224" s="21" t="str">
        <f t="shared" si="0"/>
        <v xml:space="preserve">35          </v>
      </c>
      <c r="C224" s="21" t="str">
        <f t="shared" si="1"/>
        <v xml:space="preserve">50          </v>
      </c>
      <c r="D224" s="21" t="str">
        <f t="shared" si="2"/>
        <v xml:space="preserve">75          </v>
      </c>
      <c r="E224" s="21" t="str">
        <f t="shared" si="3"/>
        <v xml:space="preserve">35          </v>
      </c>
      <c r="F224" s="21" t="str">
        <f t="shared" si="4"/>
        <v xml:space="preserve">35          </v>
      </c>
      <c r="G224" s="21" t="str">
        <f t="shared" si="5"/>
        <v xml:space="preserve">35          </v>
      </c>
      <c r="H224" s="21" t="str">
        <f t="shared" si="6"/>
        <v xml:space="preserve">35          </v>
      </c>
      <c r="I224" s="21" t="str">
        <f t="shared" si="7"/>
        <v xml:space="preserve">35          </v>
      </c>
      <c r="J224" s="21" t="str">
        <f t="shared" si="8"/>
        <v xml:space="preserve">35          </v>
      </c>
      <c r="K224" s="21" t="str">
        <f t="shared" si="9"/>
        <v xml:space="preserve">35          </v>
      </c>
      <c r="L224" s="21" t="str">
        <f t="shared" si="10"/>
        <v xml:space="preserve">0          </v>
      </c>
    </row>
    <row r="225" spans="2:12" outlineLevel="1" x14ac:dyDescent="0.25">
      <c r="B225" s="21" t="str">
        <f t="shared" si="0"/>
        <v xml:space="preserve">42          </v>
      </c>
      <c r="C225" s="21" t="str">
        <f t="shared" si="1"/>
        <v xml:space="preserve">60          </v>
      </c>
      <c r="D225" s="21" t="str">
        <f t="shared" si="2"/>
        <v xml:space="preserve">90          </v>
      </c>
      <c r="E225" s="21" t="str">
        <f t="shared" si="3"/>
        <v xml:space="preserve">42          </v>
      </c>
      <c r="F225" s="21" t="str">
        <f t="shared" si="4"/>
        <v xml:space="preserve">42          </v>
      </c>
      <c r="G225" s="21" t="str">
        <f t="shared" si="5"/>
        <v xml:space="preserve">42          </v>
      </c>
      <c r="H225" s="21" t="str">
        <f t="shared" si="6"/>
        <v xml:space="preserve">42          </v>
      </c>
      <c r="I225" s="21" t="str">
        <f t="shared" si="7"/>
        <v xml:space="preserve">42          </v>
      </c>
      <c r="J225" s="21" t="str">
        <f t="shared" si="8"/>
        <v xml:space="preserve">42          </v>
      </c>
      <c r="K225" s="21" t="str">
        <f t="shared" si="9"/>
        <v xml:space="preserve">42          </v>
      </c>
      <c r="L225" s="21" t="str">
        <f t="shared" si="10"/>
        <v xml:space="preserve">0          </v>
      </c>
    </row>
    <row r="226" spans="2:12" outlineLevel="1" x14ac:dyDescent="0.25">
      <c r="B226" s="21" t="str">
        <f t="shared" si="0"/>
        <v xml:space="preserve">49          </v>
      </c>
      <c r="C226" s="21" t="str">
        <f t="shared" si="1"/>
        <v xml:space="preserve">70          </v>
      </c>
      <c r="D226" s="21" t="str">
        <f t="shared" si="2"/>
        <v xml:space="preserve">105          </v>
      </c>
      <c r="E226" s="21" t="str">
        <f t="shared" si="3"/>
        <v xml:space="preserve">49          </v>
      </c>
      <c r="F226" s="21" t="str">
        <f t="shared" si="4"/>
        <v xml:space="preserve">49          </v>
      </c>
      <c r="G226" s="21" t="str">
        <f t="shared" si="5"/>
        <v xml:space="preserve">49          </v>
      </c>
      <c r="H226" s="21" t="str">
        <f t="shared" si="6"/>
        <v xml:space="preserve">49          </v>
      </c>
      <c r="I226" s="21" t="str">
        <f t="shared" si="7"/>
        <v xml:space="preserve">49          </v>
      </c>
      <c r="J226" s="21" t="str">
        <f t="shared" si="8"/>
        <v xml:space="preserve">49          </v>
      </c>
      <c r="K226" s="21" t="str">
        <f t="shared" si="9"/>
        <v xml:space="preserve">49          </v>
      </c>
      <c r="L226" s="21" t="str">
        <f t="shared" si="10"/>
        <v xml:space="preserve">0          </v>
      </c>
    </row>
    <row r="227" spans="2:12" outlineLevel="1" x14ac:dyDescent="0.25">
      <c r="B227" s="21" t="str">
        <f t="shared" si="0"/>
        <v xml:space="preserve">56          </v>
      </c>
      <c r="C227" s="21" t="str">
        <f t="shared" si="1"/>
        <v xml:space="preserve">80          </v>
      </c>
      <c r="D227" s="21" t="str">
        <f t="shared" si="2"/>
        <v xml:space="preserve">120          </v>
      </c>
      <c r="E227" s="21" t="str">
        <f t="shared" si="3"/>
        <v xml:space="preserve">56          </v>
      </c>
      <c r="F227" s="21" t="str">
        <f t="shared" si="4"/>
        <v xml:space="preserve">56          </v>
      </c>
      <c r="G227" s="21" t="str">
        <f t="shared" si="5"/>
        <v xml:space="preserve">56          </v>
      </c>
      <c r="H227" s="21" t="str">
        <f t="shared" si="6"/>
        <v xml:space="preserve">56          </v>
      </c>
      <c r="I227" s="21" t="str">
        <f t="shared" si="7"/>
        <v xml:space="preserve">56          </v>
      </c>
      <c r="J227" s="21" t="str">
        <f t="shared" si="8"/>
        <v xml:space="preserve">56          </v>
      </c>
      <c r="K227" s="21" t="str">
        <f t="shared" si="9"/>
        <v xml:space="preserve">56          </v>
      </c>
      <c r="L227" s="21" t="str">
        <f t="shared" si="10"/>
        <v xml:space="preserve">0          </v>
      </c>
    </row>
    <row r="228" spans="2:12" outlineLevel="1" x14ac:dyDescent="0.25">
      <c r="B228" s="21" t="str">
        <f t="shared" si="0"/>
        <v xml:space="preserve">63          </v>
      </c>
      <c r="C228" s="21" t="str">
        <f t="shared" si="1"/>
        <v xml:space="preserve">90          </v>
      </c>
      <c r="D228" s="21" t="str">
        <f t="shared" si="2"/>
        <v xml:space="preserve">135          </v>
      </c>
      <c r="E228" s="21" t="str">
        <f t="shared" si="3"/>
        <v xml:space="preserve">63          </v>
      </c>
      <c r="F228" s="21" t="str">
        <f t="shared" si="4"/>
        <v xml:space="preserve">63          </v>
      </c>
      <c r="G228" s="21" t="str">
        <f t="shared" si="5"/>
        <v xml:space="preserve">63          </v>
      </c>
      <c r="H228" s="21" t="str">
        <f t="shared" si="6"/>
        <v xml:space="preserve">63          </v>
      </c>
      <c r="I228" s="21" t="str">
        <f t="shared" si="7"/>
        <v xml:space="preserve">63          </v>
      </c>
      <c r="J228" s="21" t="str">
        <f t="shared" si="8"/>
        <v xml:space="preserve">63          </v>
      </c>
      <c r="K228" s="21" t="str">
        <f t="shared" si="9"/>
        <v xml:space="preserve">63          </v>
      </c>
      <c r="L228" s="21" t="str">
        <f t="shared" si="10"/>
        <v xml:space="preserve">0          </v>
      </c>
    </row>
    <row r="229" spans="2:12" outlineLevel="1" x14ac:dyDescent="0.25">
      <c r="B229" s="21" t="str">
        <f t="shared" si="0"/>
        <v xml:space="preserve">70          </v>
      </c>
      <c r="C229" s="21" t="str">
        <f t="shared" si="1"/>
        <v xml:space="preserve">100          </v>
      </c>
      <c r="D229" s="21" t="str">
        <f t="shared" si="2"/>
        <v xml:space="preserve">150          </v>
      </c>
      <c r="E229" s="21" t="str">
        <f t="shared" si="3"/>
        <v xml:space="preserve">70          </v>
      </c>
      <c r="F229" s="21" t="str">
        <f t="shared" si="4"/>
        <v xml:space="preserve">70          </v>
      </c>
      <c r="G229" s="21" t="str">
        <f t="shared" si="5"/>
        <v xml:space="preserve">70          </v>
      </c>
      <c r="H229" s="21" t="str">
        <f t="shared" si="6"/>
        <v xml:space="preserve">70          </v>
      </c>
      <c r="I229" s="21" t="str">
        <f t="shared" si="7"/>
        <v xml:space="preserve">70          </v>
      </c>
      <c r="J229" s="21" t="str">
        <f t="shared" si="8"/>
        <v xml:space="preserve">70          </v>
      </c>
      <c r="K229" s="21" t="str">
        <f t="shared" si="9"/>
        <v xml:space="preserve">70          </v>
      </c>
      <c r="L229" s="21" t="str">
        <f t="shared" si="10"/>
        <v xml:space="preserve">0          </v>
      </c>
    </row>
    <row r="230" spans="2:12" outlineLevel="1" x14ac:dyDescent="0.25">
      <c r="B230" s="21" t="str">
        <f t="shared" si="0"/>
        <v xml:space="preserve">77          </v>
      </c>
      <c r="C230" s="21" t="str">
        <f t="shared" si="1"/>
        <v xml:space="preserve">110          </v>
      </c>
      <c r="D230" s="21" t="str">
        <f t="shared" si="2"/>
        <v xml:space="preserve">165          </v>
      </c>
      <c r="E230" s="21" t="str">
        <f t="shared" si="3"/>
        <v xml:space="preserve">77          </v>
      </c>
      <c r="F230" s="21" t="str">
        <f t="shared" si="4"/>
        <v xml:space="preserve">77          </v>
      </c>
      <c r="G230" s="21" t="str">
        <f t="shared" si="5"/>
        <v xml:space="preserve">77          </v>
      </c>
      <c r="H230" s="21" t="str">
        <f t="shared" si="6"/>
        <v xml:space="preserve">77          </v>
      </c>
      <c r="I230" s="21" t="str">
        <f t="shared" si="7"/>
        <v xml:space="preserve">77          </v>
      </c>
      <c r="J230" s="21" t="str">
        <f t="shared" si="8"/>
        <v xml:space="preserve">77          </v>
      </c>
      <c r="K230" s="21" t="str">
        <f t="shared" si="9"/>
        <v xml:space="preserve">77          </v>
      </c>
      <c r="L230" s="21" t="str">
        <f t="shared" si="10"/>
        <v xml:space="preserve">0          </v>
      </c>
    </row>
    <row r="231" spans="2:12" outlineLevel="1" x14ac:dyDescent="0.25">
      <c r="B231" s="21" t="str">
        <f t="shared" si="0"/>
        <v xml:space="preserve">84          </v>
      </c>
      <c r="C231" s="21" t="str">
        <f t="shared" si="1"/>
        <v xml:space="preserve">120          </v>
      </c>
      <c r="D231" s="21" t="str">
        <f t="shared" si="2"/>
        <v xml:space="preserve">180          </v>
      </c>
      <c r="E231" s="21" t="str">
        <f t="shared" si="3"/>
        <v xml:space="preserve">84          </v>
      </c>
      <c r="F231" s="21" t="str">
        <f t="shared" si="4"/>
        <v xml:space="preserve">84          </v>
      </c>
      <c r="G231" s="21" t="str">
        <f t="shared" si="5"/>
        <v xml:space="preserve">84          </v>
      </c>
      <c r="H231" s="21" t="str">
        <f t="shared" si="6"/>
        <v xml:space="preserve">84          </v>
      </c>
      <c r="I231" s="21" t="str">
        <f t="shared" si="7"/>
        <v xml:space="preserve">84          </v>
      </c>
      <c r="J231" s="21" t="str">
        <f t="shared" si="8"/>
        <v xml:space="preserve">84          </v>
      </c>
      <c r="K231" s="21" t="str">
        <f t="shared" si="9"/>
        <v xml:space="preserve">84          </v>
      </c>
      <c r="L231" s="21" t="str">
        <f t="shared" si="10"/>
        <v xml:space="preserve">0          </v>
      </c>
    </row>
    <row r="232" spans="2:12" outlineLevel="1" x14ac:dyDescent="0.25">
      <c r="B232" s="21" t="str">
        <f t="shared" si="0"/>
        <v xml:space="preserve">91          </v>
      </c>
      <c r="C232" s="21" t="str">
        <f t="shared" si="1"/>
        <v xml:space="preserve">130          </v>
      </c>
      <c r="D232" s="21" t="str">
        <f t="shared" si="2"/>
        <v xml:space="preserve">195          </v>
      </c>
      <c r="E232" s="21" t="str">
        <f t="shared" si="3"/>
        <v xml:space="preserve">91          </v>
      </c>
      <c r="F232" s="21" t="str">
        <f t="shared" si="4"/>
        <v xml:space="preserve">91          </v>
      </c>
      <c r="G232" s="21" t="str">
        <f t="shared" si="5"/>
        <v xml:space="preserve">91          </v>
      </c>
      <c r="H232" s="21" t="str">
        <f t="shared" si="6"/>
        <v xml:space="preserve">91          </v>
      </c>
      <c r="I232" s="21" t="str">
        <f t="shared" si="7"/>
        <v xml:space="preserve">91          </v>
      </c>
      <c r="J232" s="21" t="str">
        <f t="shared" si="8"/>
        <v xml:space="preserve">91          </v>
      </c>
      <c r="K232" s="21" t="str">
        <f t="shared" si="9"/>
        <v xml:space="preserve">91          </v>
      </c>
      <c r="L232" s="21" t="str">
        <f t="shared" si="10"/>
        <v xml:space="preserve">0          </v>
      </c>
    </row>
    <row r="233" spans="2:12" outlineLevel="1" x14ac:dyDescent="0.25">
      <c r="B233" s="21" t="str">
        <f t="shared" si="0"/>
        <v xml:space="preserve">98          </v>
      </c>
      <c r="C233" s="21" t="str">
        <f t="shared" si="1"/>
        <v xml:space="preserve">140          </v>
      </c>
      <c r="D233" s="21" t="str">
        <f t="shared" si="2"/>
        <v xml:space="preserve">210          </v>
      </c>
      <c r="E233" s="21" t="str">
        <f t="shared" si="3"/>
        <v xml:space="preserve">98          </v>
      </c>
      <c r="F233" s="21" t="str">
        <f t="shared" si="4"/>
        <v xml:space="preserve">98          </v>
      </c>
      <c r="G233" s="21" t="str">
        <f t="shared" si="5"/>
        <v xml:space="preserve">98          </v>
      </c>
      <c r="H233" s="21" t="str">
        <f t="shared" si="6"/>
        <v xml:space="preserve">98          </v>
      </c>
      <c r="I233" s="21" t="str">
        <f t="shared" si="7"/>
        <v xml:space="preserve">98          </v>
      </c>
      <c r="J233" s="21" t="str">
        <f t="shared" si="8"/>
        <v xml:space="preserve">98          </v>
      </c>
      <c r="K233" s="21" t="str">
        <f t="shared" si="9"/>
        <v xml:space="preserve">98          </v>
      </c>
      <c r="L233" s="21" t="str">
        <f t="shared" si="10"/>
        <v xml:space="preserve">0          </v>
      </c>
    </row>
    <row r="234" spans="2:12" outlineLevel="1" x14ac:dyDescent="0.25">
      <c r="B234" s="21" t="str">
        <f t="shared" si="0"/>
        <v xml:space="preserve">105          </v>
      </c>
      <c r="C234" s="21" t="str">
        <f t="shared" si="1"/>
        <v xml:space="preserve">150          </v>
      </c>
      <c r="D234" s="21" t="str">
        <f t="shared" si="2"/>
        <v xml:space="preserve">225          </v>
      </c>
      <c r="E234" s="21" t="str">
        <f t="shared" si="3"/>
        <v xml:space="preserve">105          </v>
      </c>
      <c r="F234" s="21" t="str">
        <f t="shared" si="4"/>
        <v xml:space="preserve">105          </v>
      </c>
      <c r="G234" s="21" t="str">
        <f t="shared" si="5"/>
        <v xml:space="preserve">105          </v>
      </c>
      <c r="H234" s="21" t="str">
        <f t="shared" si="6"/>
        <v xml:space="preserve">105          </v>
      </c>
      <c r="I234" s="21" t="str">
        <f t="shared" si="7"/>
        <v xml:space="preserve">105          </v>
      </c>
      <c r="J234" s="21" t="str">
        <f t="shared" si="8"/>
        <v xml:space="preserve">105          </v>
      </c>
      <c r="K234" s="21" t="str">
        <f t="shared" si="9"/>
        <v xml:space="preserve">105          </v>
      </c>
      <c r="L234" s="21" t="str">
        <f t="shared" si="10"/>
        <v xml:space="preserve">0          </v>
      </c>
    </row>
    <row r="235" spans="2:12" outlineLevel="1" x14ac:dyDescent="0.25">
      <c r="B235" s="21" t="str">
        <f t="shared" si="0"/>
        <v xml:space="preserve">112          </v>
      </c>
      <c r="C235" s="21" t="str">
        <f t="shared" si="1"/>
        <v xml:space="preserve">160          </v>
      </c>
      <c r="D235" s="21" t="str">
        <f t="shared" si="2"/>
        <v xml:space="preserve">240          </v>
      </c>
      <c r="E235" s="21" t="str">
        <f t="shared" si="3"/>
        <v xml:space="preserve">112          </v>
      </c>
      <c r="F235" s="21" t="str">
        <f t="shared" si="4"/>
        <v xml:space="preserve">112          </v>
      </c>
      <c r="G235" s="21" t="str">
        <f t="shared" si="5"/>
        <v xml:space="preserve">112          </v>
      </c>
      <c r="H235" s="21" t="str">
        <f t="shared" si="6"/>
        <v xml:space="preserve">112          </v>
      </c>
      <c r="I235" s="21" t="str">
        <f t="shared" si="7"/>
        <v xml:space="preserve">112          </v>
      </c>
      <c r="J235" s="21" t="str">
        <f t="shared" si="8"/>
        <v xml:space="preserve">112          </v>
      </c>
      <c r="K235" s="21" t="str">
        <f t="shared" si="9"/>
        <v xml:space="preserve">112          </v>
      </c>
      <c r="L235" s="21" t="str">
        <f t="shared" si="10"/>
        <v xml:space="preserve">0          </v>
      </c>
    </row>
    <row r="236" spans="2:12" outlineLevel="1" x14ac:dyDescent="0.25">
      <c r="B236" s="21" t="str">
        <f t="shared" si="0"/>
        <v xml:space="preserve">119          </v>
      </c>
      <c r="C236" s="21" t="str">
        <f t="shared" si="1"/>
        <v xml:space="preserve">170          </v>
      </c>
      <c r="D236" s="21" t="str">
        <f t="shared" si="2"/>
        <v xml:space="preserve">255          </v>
      </c>
      <c r="E236" s="21" t="str">
        <f t="shared" si="3"/>
        <v xml:space="preserve">119          </v>
      </c>
      <c r="F236" s="21" t="str">
        <f t="shared" si="4"/>
        <v xml:space="preserve">119          </v>
      </c>
      <c r="G236" s="21" t="str">
        <f t="shared" si="5"/>
        <v xml:space="preserve">119          </v>
      </c>
      <c r="H236" s="21" t="str">
        <f t="shared" si="6"/>
        <v xml:space="preserve">119          </v>
      </c>
      <c r="I236" s="21" t="str">
        <f t="shared" si="7"/>
        <v xml:space="preserve">119          </v>
      </c>
      <c r="J236" s="21" t="str">
        <f t="shared" si="8"/>
        <v xml:space="preserve">119          </v>
      </c>
      <c r="K236" s="21" t="str">
        <f t="shared" si="9"/>
        <v xml:space="preserve">119          </v>
      </c>
      <c r="L236" s="21" t="str">
        <f t="shared" si="10"/>
        <v xml:space="preserve">0          </v>
      </c>
    </row>
    <row r="237" spans="2:12" outlineLevel="1" x14ac:dyDescent="0.25">
      <c r="B237" s="21" t="str">
        <f t="shared" si="0"/>
        <v xml:space="preserve">126          </v>
      </c>
      <c r="C237" s="21" t="str">
        <f t="shared" si="1"/>
        <v xml:space="preserve">180          </v>
      </c>
      <c r="D237" s="21" t="str">
        <f t="shared" si="2"/>
        <v xml:space="preserve">270          </v>
      </c>
      <c r="E237" s="21" t="str">
        <f t="shared" si="3"/>
        <v xml:space="preserve">126          </v>
      </c>
      <c r="F237" s="21" t="str">
        <f t="shared" si="4"/>
        <v xml:space="preserve">126          </v>
      </c>
      <c r="G237" s="21" t="str">
        <f t="shared" si="5"/>
        <v xml:space="preserve">126          </v>
      </c>
      <c r="H237" s="21" t="str">
        <f t="shared" si="6"/>
        <v xml:space="preserve">126          </v>
      </c>
      <c r="I237" s="21" t="str">
        <f t="shared" si="7"/>
        <v xml:space="preserve">126          </v>
      </c>
      <c r="J237" s="21" t="str">
        <f t="shared" si="8"/>
        <v xml:space="preserve">126          </v>
      </c>
      <c r="K237" s="21" t="str">
        <f t="shared" si="9"/>
        <v xml:space="preserve">126          </v>
      </c>
      <c r="L237" s="21" t="str">
        <f t="shared" si="10"/>
        <v xml:space="preserve">0          </v>
      </c>
    </row>
    <row r="238" spans="2:12" outlineLevel="1" x14ac:dyDescent="0.25">
      <c r="B238" s="21" t="str">
        <f t="shared" si="0"/>
        <v xml:space="preserve">133          </v>
      </c>
      <c r="C238" s="21" t="str">
        <f t="shared" si="1"/>
        <v xml:space="preserve">190          </v>
      </c>
      <c r="D238" s="21" t="str">
        <f t="shared" si="2"/>
        <v xml:space="preserve">285          </v>
      </c>
      <c r="E238" s="21" t="str">
        <f t="shared" si="3"/>
        <v xml:space="preserve">133          </v>
      </c>
      <c r="F238" s="21" t="str">
        <f t="shared" si="4"/>
        <v xml:space="preserve">133          </v>
      </c>
      <c r="G238" s="21" t="str">
        <f t="shared" si="5"/>
        <v xml:space="preserve">133          </v>
      </c>
      <c r="H238" s="21" t="str">
        <f t="shared" si="6"/>
        <v xml:space="preserve">133          </v>
      </c>
      <c r="I238" s="21" t="str">
        <f t="shared" si="7"/>
        <v xml:space="preserve">133          </v>
      </c>
      <c r="J238" s="21" t="str">
        <f t="shared" si="8"/>
        <v xml:space="preserve">133          </v>
      </c>
      <c r="K238" s="21" t="str">
        <f t="shared" si="9"/>
        <v xml:space="preserve">133          </v>
      </c>
      <c r="L238" s="21" t="str">
        <f t="shared" si="10"/>
        <v xml:space="preserve">0          </v>
      </c>
    </row>
    <row r="239" spans="2:12" outlineLevel="1" x14ac:dyDescent="0.25">
      <c r="B239" s="21" t="str">
        <f t="shared" si="0"/>
        <v xml:space="preserve">140          </v>
      </c>
      <c r="C239" s="21" t="str">
        <f t="shared" si="1"/>
        <v xml:space="preserve">200          </v>
      </c>
      <c r="D239" s="21" t="str">
        <f t="shared" si="2"/>
        <v xml:space="preserve">300          </v>
      </c>
      <c r="E239" s="21" t="str">
        <f t="shared" si="3"/>
        <v xml:space="preserve">140          </v>
      </c>
      <c r="F239" s="21" t="str">
        <f t="shared" si="4"/>
        <v xml:space="preserve">140          </v>
      </c>
      <c r="G239" s="21" t="str">
        <f t="shared" si="5"/>
        <v xml:space="preserve">140          </v>
      </c>
      <c r="H239" s="21" t="str">
        <f t="shared" si="6"/>
        <v xml:space="preserve">140          </v>
      </c>
      <c r="I239" s="21" t="str">
        <f t="shared" si="7"/>
        <v xml:space="preserve">140          </v>
      </c>
      <c r="J239" s="21" t="str">
        <f t="shared" si="8"/>
        <v xml:space="preserve">140          </v>
      </c>
      <c r="K239" s="21" t="str">
        <f t="shared" si="9"/>
        <v xml:space="preserve">140          </v>
      </c>
      <c r="L239" s="21" t="str">
        <f t="shared" si="10"/>
        <v xml:space="preserve">0          </v>
      </c>
    </row>
    <row r="240" spans="2:12" outlineLevel="1" x14ac:dyDescent="0.25">
      <c r="B240" s="21" t="str">
        <f t="shared" si="0"/>
        <v xml:space="preserve">147          </v>
      </c>
      <c r="C240" s="21" t="str">
        <f t="shared" si="1"/>
        <v xml:space="preserve">210          </v>
      </c>
      <c r="D240" s="21" t="str">
        <f t="shared" si="2"/>
        <v xml:space="preserve">315          </v>
      </c>
      <c r="E240" s="21" t="str">
        <f t="shared" si="3"/>
        <v xml:space="preserve">147          </v>
      </c>
      <c r="F240" s="21" t="str">
        <f t="shared" si="4"/>
        <v xml:space="preserve">147          </v>
      </c>
      <c r="G240" s="21" t="str">
        <f t="shared" si="5"/>
        <v xml:space="preserve">147          </v>
      </c>
      <c r="H240" s="21" t="str">
        <f t="shared" si="6"/>
        <v xml:space="preserve">147          </v>
      </c>
      <c r="I240" s="21" t="str">
        <f t="shared" si="7"/>
        <v xml:space="preserve">147          </v>
      </c>
      <c r="J240" s="21" t="str">
        <f t="shared" si="8"/>
        <v xml:space="preserve">147          </v>
      </c>
      <c r="K240" s="21" t="str">
        <f t="shared" si="9"/>
        <v xml:space="preserve">147          </v>
      </c>
      <c r="L240" s="21" t="str">
        <f t="shared" si="10"/>
        <v xml:space="preserve">0          </v>
      </c>
    </row>
    <row r="241" spans="2:12" outlineLevel="1" x14ac:dyDescent="0.25">
      <c r="B241" s="21" t="str">
        <f t="shared" si="0"/>
        <v xml:space="preserve">154          </v>
      </c>
      <c r="C241" s="21" t="str">
        <f t="shared" si="1"/>
        <v xml:space="preserve">220          </v>
      </c>
      <c r="D241" s="21" t="str">
        <f t="shared" si="2"/>
        <v xml:space="preserve">330          </v>
      </c>
      <c r="E241" s="21" t="str">
        <f t="shared" si="3"/>
        <v xml:space="preserve">154          </v>
      </c>
      <c r="F241" s="21" t="str">
        <f t="shared" si="4"/>
        <v xml:space="preserve">154          </v>
      </c>
      <c r="G241" s="21" t="str">
        <f t="shared" si="5"/>
        <v xml:space="preserve">154          </v>
      </c>
      <c r="H241" s="21" t="str">
        <f t="shared" si="6"/>
        <v xml:space="preserve">154          </v>
      </c>
      <c r="I241" s="21" t="str">
        <f t="shared" si="7"/>
        <v xml:space="preserve">154          </v>
      </c>
      <c r="J241" s="21" t="str">
        <f t="shared" si="8"/>
        <v xml:space="preserve">154          </v>
      </c>
      <c r="K241" s="21" t="str">
        <f t="shared" si="9"/>
        <v xml:space="preserve">154          </v>
      </c>
      <c r="L241" s="21" t="str">
        <f t="shared" si="10"/>
        <v xml:space="preserve">0          </v>
      </c>
    </row>
    <row r="242" spans="2:12" outlineLevel="1" x14ac:dyDescent="0.25">
      <c r="B242" s="21" t="str">
        <f t="shared" si="0"/>
        <v xml:space="preserve">161          </v>
      </c>
      <c r="C242" s="21" t="str">
        <f t="shared" si="1"/>
        <v xml:space="preserve">230          </v>
      </c>
      <c r="D242" s="21" t="str">
        <f t="shared" si="2"/>
        <v xml:space="preserve">345          </v>
      </c>
      <c r="E242" s="21" t="str">
        <f t="shared" si="3"/>
        <v xml:space="preserve">161          </v>
      </c>
      <c r="F242" s="21" t="str">
        <f t="shared" si="4"/>
        <v xml:space="preserve">161          </v>
      </c>
      <c r="G242" s="21" t="str">
        <f t="shared" si="5"/>
        <v xml:space="preserve">161          </v>
      </c>
      <c r="H242" s="21" t="str">
        <f t="shared" si="6"/>
        <v xml:space="preserve">161          </v>
      </c>
      <c r="I242" s="21" t="str">
        <f t="shared" si="7"/>
        <v xml:space="preserve">161          </v>
      </c>
      <c r="J242" s="21" t="str">
        <f t="shared" si="8"/>
        <v xml:space="preserve">161          </v>
      </c>
      <c r="K242" s="21" t="str">
        <f t="shared" si="9"/>
        <v xml:space="preserve">161          </v>
      </c>
      <c r="L242" s="21" t="str">
        <f t="shared" si="10"/>
        <v xml:space="preserve">0          </v>
      </c>
    </row>
    <row r="243" spans="2:12" outlineLevel="1" x14ac:dyDescent="0.25">
      <c r="B243" s="21" t="str">
        <f t="shared" si="0"/>
        <v xml:space="preserve">168          </v>
      </c>
      <c r="C243" s="21" t="str">
        <f t="shared" si="1"/>
        <v xml:space="preserve">240          </v>
      </c>
      <c r="D243" s="21" t="str">
        <f t="shared" si="2"/>
        <v xml:space="preserve">360          </v>
      </c>
      <c r="E243" s="21" t="str">
        <f t="shared" si="3"/>
        <v xml:space="preserve">168          </v>
      </c>
      <c r="F243" s="21" t="str">
        <f t="shared" si="4"/>
        <v xml:space="preserve">168          </v>
      </c>
      <c r="G243" s="21" t="str">
        <f t="shared" si="5"/>
        <v xml:space="preserve">168          </v>
      </c>
      <c r="H243" s="21" t="str">
        <f t="shared" si="6"/>
        <v xml:space="preserve">168          </v>
      </c>
      <c r="I243" s="21" t="str">
        <f t="shared" si="7"/>
        <v xml:space="preserve">168          </v>
      </c>
      <c r="J243" s="21" t="str">
        <f t="shared" si="8"/>
        <v xml:space="preserve">168          </v>
      </c>
      <c r="K243" s="21" t="str">
        <f t="shared" si="9"/>
        <v xml:space="preserve">168          </v>
      </c>
      <c r="L243" s="21" t="str">
        <f t="shared" si="10"/>
        <v xml:space="preserve">0          </v>
      </c>
    </row>
    <row r="244" spans="2:12" outlineLevel="1" x14ac:dyDescent="0.25">
      <c r="B244" s="21" t="str">
        <f t="shared" si="0"/>
        <v xml:space="preserve">175          </v>
      </c>
      <c r="C244" s="21" t="str">
        <f t="shared" si="1"/>
        <v xml:space="preserve">250          </v>
      </c>
      <c r="D244" s="21" t="str">
        <f t="shared" si="2"/>
        <v xml:space="preserve">375          </v>
      </c>
      <c r="E244" s="21" t="str">
        <f t="shared" si="3"/>
        <v xml:space="preserve">175          </v>
      </c>
      <c r="F244" s="21" t="str">
        <f t="shared" si="4"/>
        <v xml:space="preserve">175          </v>
      </c>
      <c r="G244" s="21" t="str">
        <f t="shared" si="5"/>
        <v xml:space="preserve">175          </v>
      </c>
      <c r="H244" s="21" t="str">
        <f t="shared" si="6"/>
        <v xml:space="preserve">175          </v>
      </c>
      <c r="I244" s="21" t="str">
        <f t="shared" si="7"/>
        <v xml:space="preserve">175          </v>
      </c>
      <c r="J244" s="21" t="str">
        <f t="shared" si="8"/>
        <v xml:space="preserve">175          </v>
      </c>
      <c r="K244" s="21" t="str">
        <f t="shared" si="9"/>
        <v xml:space="preserve">175          </v>
      </c>
      <c r="L244" s="21" t="str">
        <f t="shared" si="10"/>
        <v xml:space="preserve">0          </v>
      </c>
    </row>
    <row r="245" spans="2:12" outlineLevel="1" x14ac:dyDescent="0.25">
      <c r="B245" s="21" t="str">
        <f t="shared" si="0"/>
        <v xml:space="preserve">182          </v>
      </c>
      <c r="C245" s="21" t="str">
        <f t="shared" si="1"/>
        <v xml:space="preserve">260          </v>
      </c>
      <c r="D245" s="21" t="str">
        <f t="shared" si="2"/>
        <v xml:space="preserve">390          </v>
      </c>
      <c r="E245" s="21" t="str">
        <f t="shared" si="3"/>
        <v xml:space="preserve">182          </v>
      </c>
      <c r="F245" s="21" t="str">
        <f t="shared" si="4"/>
        <v xml:space="preserve">182          </v>
      </c>
      <c r="G245" s="21" t="str">
        <f t="shared" si="5"/>
        <v xml:space="preserve">182          </v>
      </c>
      <c r="H245" s="21" t="str">
        <f t="shared" si="6"/>
        <v xml:space="preserve">182          </v>
      </c>
      <c r="I245" s="21" t="str">
        <f t="shared" si="7"/>
        <v xml:space="preserve">182          </v>
      </c>
      <c r="J245" s="21" t="str">
        <f t="shared" si="8"/>
        <v xml:space="preserve">182          </v>
      </c>
      <c r="K245" s="21" t="str">
        <f t="shared" si="9"/>
        <v xml:space="preserve">182          </v>
      </c>
      <c r="L245" s="21" t="str">
        <f t="shared" si="10"/>
        <v xml:space="preserve">0          </v>
      </c>
    </row>
    <row r="246" spans="2:12" outlineLevel="1" x14ac:dyDescent="0.25">
      <c r="B246" s="21" t="str">
        <f t="shared" si="0"/>
        <v xml:space="preserve">189          </v>
      </c>
      <c r="C246" s="21" t="str">
        <f t="shared" si="1"/>
        <v xml:space="preserve">270          </v>
      </c>
      <c r="D246" s="21" t="str">
        <f t="shared" si="2"/>
        <v xml:space="preserve">405          </v>
      </c>
      <c r="E246" s="21" t="str">
        <f t="shared" si="3"/>
        <v xml:space="preserve">189          </v>
      </c>
      <c r="F246" s="21" t="str">
        <f t="shared" si="4"/>
        <v xml:space="preserve">189          </v>
      </c>
      <c r="G246" s="21" t="str">
        <f t="shared" si="5"/>
        <v xml:space="preserve">189          </v>
      </c>
      <c r="H246" s="21" t="str">
        <f t="shared" si="6"/>
        <v xml:space="preserve">189          </v>
      </c>
      <c r="I246" s="21" t="str">
        <f t="shared" si="7"/>
        <v xml:space="preserve">189          </v>
      </c>
      <c r="J246" s="21" t="str">
        <f t="shared" si="8"/>
        <v xml:space="preserve">189          </v>
      </c>
      <c r="K246" s="21" t="str">
        <f t="shared" si="9"/>
        <v xml:space="preserve">189          </v>
      </c>
      <c r="L246" s="21" t="str">
        <f t="shared" si="10"/>
        <v xml:space="preserve">0          </v>
      </c>
    </row>
    <row r="247" spans="2:12" outlineLevel="1" x14ac:dyDescent="0.25">
      <c r="B247" s="21" t="str">
        <f t="shared" si="0"/>
        <v xml:space="preserve">196          </v>
      </c>
      <c r="C247" s="21" t="str">
        <f t="shared" si="1"/>
        <v xml:space="preserve">280          </v>
      </c>
      <c r="D247" s="21" t="str">
        <f t="shared" si="2"/>
        <v xml:space="preserve">420          </v>
      </c>
      <c r="E247" s="21" t="str">
        <f t="shared" si="3"/>
        <v xml:space="preserve">196          </v>
      </c>
      <c r="F247" s="21" t="str">
        <f t="shared" si="4"/>
        <v xml:space="preserve">196          </v>
      </c>
      <c r="G247" s="21" t="str">
        <f t="shared" si="5"/>
        <v xml:space="preserve">196          </v>
      </c>
      <c r="H247" s="21" t="str">
        <f t="shared" si="6"/>
        <v xml:space="preserve">196          </v>
      </c>
      <c r="I247" s="21" t="str">
        <f t="shared" si="7"/>
        <v xml:space="preserve">196          </v>
      </c>
      <c r="J247" s="21" t="str">
        <f t="shared" si="8"/>
        <v xml:space="preserve">196          </v>
      </c>
      <c r="K247" s="21" t="str">
        <f t="shared" si="9"/>
        <v xml:space="preserve">196          </v>
      </c>
      <c r="L247" s="21" t="str">
        <f t="shared" si="10"/>
        <v xml:space="preserve">0          </v>
      </c>
    </row>
    <row r="248" spans="2:12" outlineLevel="1" x14ac:dyDescent="0.25">
      <c r="B248" s="21" t="str">
        <f t="shared" si="0"/>
        <v xml:space="preserve">203          </v>
      </c>
      <c r="C248" s="21" t="str">
        <f t="shared" si="1"/>
        <v xml:space="preserve">290          </v>
      </c>
      <c r="D248" s="21" t="str">
        <f t="shared" si="2"/>
        <v xml:space="preserve">435          </v>
      </c>
      <c r="E248" s="21" t="str">
        <f t="shared" si="3"/>
        <v xml:space="preserve">203          </v>
      </c>
      <c r="F248" s="21" t="str">
        <f t="shared" si="4"/>
        <v xml:space="preserve">203          </v>
      </c>
      <c r="G248" s="21" t="str">
        <f t="shared" si="5"/>
        <v xml:space="preserve">203          </v>
      </c>
      <c r="H248" s="21" t="str">
        <f t="shared" si="6"/>
        <v xml:space="preserve">203          </v>
      </c>
      <c r="I248" s="21" t="str">
        <f t="shared" si="7"/>
        <v xml:space="preserve">203          </v>
      </c>
      <c r="J248" s="21" t="str">
        <f t="shared" si="8"/>
        <v xml:space="preserve">203          </v>
      </c>
      <c r="K248" s="21" t="str">
        <f t="shared" si="9"/>
        <v xml:space="preserve">203          </v>
      </c>
      <c r="L248" s="21" t="str">
        <f t="shared" si="10"/>
        <v xml:space="preserve">0          </v>
      </c>
    </row>
    <row r="249" spans="2:12" outlineLevel="1" x14ac:dyDescent="0.25">
      <c r="B249" s="21" t="str">
        <f t="shared" si="0"/>
        <v xml:space="preserve">210          </v>
      </c>
      <c r="C249" s="21" t="str">
        <f t="shared" si="1"/>
        <v xml:space="preserve">300          </v>
      </c>
      <c r="D249" s="21" t="str">
        <f t="shared" si="2"/>
        <v xml:space="preserve">450          </v>
      </c>
      <c r="E249" s="21" t="str">
        <f t="shared" si="3"/>
        <v xml:space="preserve">210          </v>
      </c>
      <c r="F249" s="21" t="str">
        <f t="shared" si="4"/>
        <v xml:space="preserve">210          </v>
      </c>
      <c r="G249" s="21" t="str">
        <f t="shared" si="5"/>
        <v xml:space="preserve">210          </v>
      </c>
      <c r="H249" s="21" t="str">
        <f t="shared" si="6"/>
        <v xml:space="preserve">210          </v>
      </c>
      <c r="I249" s="21" t="str">
        <f t="shared" si="7"/>
        <v xml:space="preserve">210          </v>
      </c>
      <c r="J249" s="21" t="str">
        <f t="shared" si="8"/>
        <v xml:space="preserve">210          </v>
      </c>
      <c r="K249" s="21" t="str">
        <f t="shared" si="9"/>
        <v xml:space="preserve">210          </v>
      </c>
      <c r="L249" s="21" t="str">
        <f t="shared" si="10"/>
        <v xml:space="preserve">0          </v>
      </c>
    </row>
    <row r="250" spans="2:12" outlineLevel="1" x14ac:dyDescent="0.25">
      <c r="B250" s="21" t="str">
        <f t="shared" si="0"/>
        <v xml:space="preserve">217          </v>
      </c>
      <c r="C250" s="21" t="str">
        <f t="shared" si="1"/>
        <v xml:space="preserve">310          </v>
      </c>
      <c r="D250" s="21" t="str">
        <f t="shared" si="2"/>
        <v xml:space="preserve">465          </v>
      </c>
      <c r="E250" s="21" t="str">
        <f t="shared" si="3"/>
        <v xml:space="preserve">217          </v>
      </c>
      <c r="F250" s="21" t="str">
        <f t="shared" si="4"/>
        <v xml:space="preserve">217          </v>
      </c>
      <c r="G250" s="21" t="str">
        <f t="shared" si="5"/>
        <v xml:space="preserve">217          </v>
      </c>
      <c r="H250" s="21" t="str">
        <f t="shared" si="6"/>
        <v xml:space="preserve">217          </v>
      </c>
      <c r="I250" s="21" t="str">
        <f t="shared" si="7"/>
        <v xml:space="preserve">217          </v>
      </c>
      <c r="J250" s="21" t="str">
        <f t="shared" si="8"/>
        <v xml:space="preserve">217          </v>
      </c>
      <c r="K250" s="21" t="str">
        <f t="shared" si="9"/>
        <v xml:space="preserve">217          </v>
      </c>
      <c r="L250" s="21" t="str">
        <f t="shared" si="10"/>
        <v xml:space="preserve">0          </v>
      </c>
    </row>
    <row r="251" spans="2:12" outlineLevel="1" x14ac:dyDescent="0.25">
      <c r="B251" s="21" t="str">
        <f t="shared" ref="B251:B282" si="11">IF($B$4, $B46, $B45 / $B$10 &amp; REPT( " ", $B$7 ))</f>
        <v xml:space="preserve">224          </v>
      </c>
      <c r="C251" s="21" t="str">
        <f t="shared" ref="C251:C282" si="12">IF($C$4, $C46, $C45 / $C$10 &amp; REPT( " ", $C$7 ))</f>
        <v xml:space="preserve">320          </v>
      </c>
      <c r="D251" s="21" t="str">
        <f t="shared" ref="D251:D282" si="13">IF($D$4, $D46, $D45 / $D$10 &amp; REPT( " ", $D$7 ))</f>
        <v xml:space="preserve">480          </v>
      </c>
      <c r="E251" s="21" t="str">
        <f t="shared" ref="E251:E282" si="14">IF($E$4, $E46, $E45 / $E$10 &amp; REPT( " ", $E$7 ))</f>
        <v xml:space="preserve">224          </v>
      </c>
      <c r="F251" s="21" t="str">
        <f t="shared" ref="F251:F282" si="15">IF($F$4, $F46, $F45 / $F$10 &amp; REPT( " ", $F$7 ))</f>
        <v xml:space="preserve">224          </v>
      </c>
      <c r="G251" s="21" t="str">
        <f t="shared" ref="G251:G282" si="16">IF($G$4, $G46, $G45 / $G$10 &amp; REPT( " ", $G$7 ))</f>
        <v xml:space="preserve">224          </v>
      </c>
      <c r="H251" s="21" t="str">
        <f t="shared" ref="H251:H282" si="17">IF($H$4, $H46, $H45 / $H$10 &amp; REPT( " ", $H$7 ))</f>
        <v xml:space="preserve">224          </v>
      </c>
      <c r="I251" s="21" t="str">
        <f t="shared" ref="I251:I282" si="18">IF($I$4, $I46, $I45 / $I$10 &amp; REPT( " ", $I$7 ))</f>
        <v xml:space="preserve">224          </v>
      </c>
      <c r="J251" s="21" t="str">
        <f t="shared" ref="J251:J282" si="19">IF($J$4, $J46, $J45 / $J$10 &amp; REPT( " ", $J$7 ))</f>
        <v xml:space="preserve">224          </v>
      </c>
      <c r="K251" s="21" t="str">
        <f t="shared" ref="K251:K282" si="20">IF($K$4, $K46, $K45 / $K$10 &amp; REPT( " ", $K$7 ))</f>
        <v xml:space="preserve">224          </v>
      </c>
      <c r="L251" s="21" t="str">
        <f t="shared" ref="L251:L282" si="21">IF($L$4, $L46, $L45 / $L$10 &amp; REPT( " ", $L$7 ))</f>
        <v xml:space="preserve">0          </v>
      </c>
    </row>
    <row r="252" spans="2:12" outlineLevel="1" x14ac:dyDescent="0.25">
      <c r="B252" s="21" t="str">
        <f t="shared" si="11"/>
        <v xml:space="preserve">231          </v>
      </c>
      <c r="C252" s="21" t="str">
        <f t="shared" si="12"/>
        <v xml:space="preserve">330          </v>
      </c>
      <c r="D252" s="21" t="str">
        <f t="shared" si="13"/>
        <v xml:space="preserve">495          </v>
      </c>
      <c r="E252" s="21" t="str">
        <f t="shared" si="14"/>
        <v xml:space="preserve">231          </v>
      </c>
      <c r="F252" s="21" t="str">
        <f t="shared" si="15"/>
        <v xml:space="preserve">231          </v>
      </c>
      <c r="G252" s="21" t="str">
        <f t="shared" si="16"/>
        <v xml:space="preserve">231          </v>
      </c>
      <c r="H252" s="21" t="str">
        <f t="shared" si="17"/>
        <v xml:space="preserve">231          </v>
      </c>
      <c r="I252" s="21" t="str">
        <f t="shared" si="18"/>
        <v xml:space="preserve">231          </v>
      </c>
      <c r="J252" s="21" t="str">
        <f t="shared" si="19"/>
        <v xml:space="preserve">231          </v>
      </c>
      <c r="K252" s="21" t="str">
        <f t="shared" si="20"/>
        <v xml:space="preserve">231          </v>
      </c>
      <c r="L252" s="21" t="str">
        <f t="shared" si="21"/>
        <v xml:space="preserve">0          </v>
      </c>
    </row>
    <row r="253" spans="2:12" outlineLevel="1" x14ac:dyDescent="0.25">
      <c r="B253" s="21" t="str">
        <f t="shared" si="11"/>
        <v xml:space="preserve">238          </v>
      </c>
      <c r="C253" s="21" t="str">
        <f t="shared" si="12"/>
        <v xml:space="preserve">340          </v>
      </c>
      <c r="D253" s="21" t="str">
        <f t="shared" si="13"/>
        <v xml:space="preserve">510          </v>
      </c>
      <c r="E253" s="21" t="str">
        <f t="shared" si="14"/>
        <v xml:space="preserve">238          </v>
      </c>
      <c r="F253" s="21" t="str">
        <f t="shared" si="15"/>
        <v xml:space="preserve">238          </v>
      </c>
      <c r="G253" s="21" t="str">
        <f t="shared" si="16"/>
        <v xml:space="preserve">238          </v>
      </c>
      <c r="H253" s="21" t="str">
        <f t="shared" si="17"/>
        <v xml:space="preserve">238          </v>
      </c>
      <c r="I253" s="21" t="str">
        <f t="shared" si="18"/>
        <v xml:space="preserve">238          </v>
      </c>
      <c r="J253" s="21" t="str">
        <f t="shared" si="19"/>
        <v xml:space="preserve">238          </v>
      </c>
      <c r="K253" s="21" t="str">
        <f t="shared" si="20"/>
        <v xml:space="preserve">238          </v>
      </c>
      <c r="L253" s="21" t="str">
        <f t="shared" si="21"/>
        <v xml:space="preserve">0          </v>
      </c>
    </row>
    <row r="254" spans="2:12" outlineLevel="1" x14ac:dyDescent="0.25">
      <c r="B254" s="21" t="str">
        <f t="shared" si="11"/>
        <v xml:space="preserve">245          </v>
      </c>
      <c r="C254" s="21" t="str">
        <f t="shared" si="12"/>
        <v xml:space="preserve">350          </v>
      </c>
      <c r="D254" s="21" t="str">
        <f t="shared" si="13"/>
        <v xml:space="preserve">525          </v>
      </c>
      <c r="E254" s="21" t="str">
        <f t="shared" si="14"/>
        <v xml:space="preserve">245          </v>
      </c>
      <c r="F254" s="21" t="str">
        <f t="shared" si="15"/>
        <v xml:space="preserve">245          </v>
      </c>
      <c r="G254" s="21" t="str">
        <f t="shared" si="16"/>
        <v xml:space="preserve">245          </v>
      </c>
      <c r="H254" s="21" t="str">
        <f t="shared" si="17"/>
        <v xml:space="preserve">245          </v>
      </c>
      <c r="I254" s="21" t="str">
        <f t="shared" si="18"/>
        <v xml:space="preserve">245          </v>
      </c>
      <c r="J254" s="21" t="str">
        <f t="shared" si="19"/>
        <v xml:space="preserve">245          </v>
      </c>
      <c r="K254" s="21" t="str">
        <f t="shared" si="20"/>
        <v xml:space="preserve">245          </v>
      </c>
      <c r="L254" s="21" t="str">
        <f t="shared" si="21"/>
        <v xml:space="preserve">0          </v>
      </c>
    </row>
    <row r="255" spans="2:12" outlineLevel="1" x14ac:dyDescent="0.25">
      <c r="B255" s="21" t="str">
        <f t="shared" si="11"/>
        <v xml:space="preserve">252          </v>
      </c>
      <c r="C255" s="21" t="str">
        <f t="shared" si="12"/>
        <v xml:space="preserve">360          </v>
      </c>
      <c r="D255" s="21" t="str">
        <f t="shared" si="13"/>
        <v xml:space="preserve">540          </v>
      </c>
      <c r="E255" s="21" t="str">
        <f t="shared" si="14"/>
        <v xml:space="preserve">252          </v>
      </c>
      <c r="F255" s="21" t="str">
        <f t="shared" si="15"/>
        <v xml:space="preserve">252          </v>
      </c>
      <c r="G255" s="21" t="str">
        <f t="shared" si="16"/>
        <v xml:space="preserve">252          </v>
      </c>
      <c r="H255" s="21" t="str">
        <f t="shared" si="17"/>
        <v xml:space="preserve">252          </v>
      </c>
      <c r="I255" s="21" t="str">
        <f t="shared" si="18"/>
        <v xml:space="preserve">252          </v>
      </c>
      <c r="J255" s="21" t="str">
        <f t="shared" si="19"/>
        <v xml:space="preserve">252          </v>
      </c>
      <c r="K255" s="21" t="str">
        <f t="shared" si="20"/>
        <v xml:space="preserve">252          </v>
      </c>
      <c r="L255" s="21" t="str">
        <f t="shared" si="21"/>
        <v xml:space="preserve">0          </v>
      </c>
    </row>
    <row r="256" spans="2:12" outlineLevel="1" x14ac:dyDescent="0.25">
      <c r="B256" s="21" t="str">
        <f t="shared" si="11"/>
        <v xml:space="preserve">259          </v>
      </c>
      <c r="C256" s="21" t="str">
        <f t="shared" si="12"/>
        <v xml:space="preserve">370          </v>
      </c>
      <c r="D256" s="21" t="str">
        <f t="shared" si="13"/>
        <v xml:space="preserve">555          </v>
      </c>
      <c r="E256" s="21" t="str">
        <f t="shared" si="14"/>
        <v xml:space="preserve">259          </v>
      </c>
      <c r="F256" s="21" t="str">
        <f t="shared" si="15"/>
        <v xml:space="preserve">259          </v>
      </c>
      <c r="G256" s="21" t="str">
        <f t="shared" si="16"/>
        <v xml:space="preserve">259          </v>
      </c>
      <c r="H256" s="21" t="str">
        <f t="shared" si="17"/>
        <v xml:space="preserve">259          </v>
      </c>
      <c r="I256" s="21" t="str">
        <f t="shared" si="18"/>
        <v xml:space="preserve">259          </v>
      </c>
      <c r="J256" s="21" t="str">
        <f t="shared" si="19"/>
        <v xml:space="preserve">259          </v>
      </c>
      <c r="K256" s="21" t="str">
        <f t="shared" si="20"/>
        <v xml:space="preserve">259          </v>
      </c>
      <c r="L256" s="21" t="str">
        <f t="shared" si="21"/>
        <v xml:space="preserve">0          </v>
      </c>
    </row>
    <row r="257" spans="2:12" outlineLevel="1" x14ac:dyDescent="0.25">
      <c r="B257" s="21" t="str">
        <f t="shared" si="11"/>
        <v xml:space="preserve">266          </v>
      </c>
      <c r="C257" s="21" t="str">
        <f t="shared" si="12"/>
        <v xml:space="preserve">380          </v>
      </c>
      <c r="D257" s="21" t="str">
        <f t="shared" si="13"/>
        <v xml:space="preserve">570          </v>
      </c>
      <c r="E257" s="21" t="str">
        <f t="shared" si="14"/>
        <v xml:space="preserve">266          </v>
      </c>
      <c r="F257" s="21" t="str">
        <f t="shared" si="15"/>
        <v xml:space="preserve">266          </v>
      </c>
      <c r="G257" s="21" t="str">
        <f t="shared" si="16"/>
        <v xml:space="preserve">266          </v>
      </c>
      <c r="H257" s="21" t="str">
        <f t="shared" si="17"/>
        <v xml:space="preserve">266          </v>
      </c>
      <c r="I257" s="21" t="str">
        <f t="shared" si="18"/>
        <v xml:space="preserve">266          </v>
      </c>
      <c r="J257" s="21" t="str">
        <f t="shared" si="19"/>
        <v xml:space="preserve">266          </v>
      </c>
      <c r="K257" s="21" t="str">
        <f t="shared" si="20"/>
        <v xml:space="preserve">266          </v>
      </c>
      <c r="L257" s="21" t="str">
        <f t="shared" si="21"/>
        <v xml:space="preserve">0          </v>
      </c>
    </row>
    <row r="258" spans="2:12" outlineLevel="1" x14ac:dyDescent="0.25">
      <c r="B258" s="21" t="str">
        <f t="shared" si="11"/>
        <v xml:space="preserve">273          </v>
      </c>
      <c r="C258" s="21" t="str">
        <f t="shared" si="12"/>
        <v xml:space="preserve">390          </v>
      </c>
      <c r="D258" s="21" t="str">
        <f t="shared" si="13"/>
        <v xml:space="preserve">585          </v>
      </c>
      <c r="E258" s="21" t="str">
        <f t="shared" si="14"/>
        <v xml:space="preserve">273          </v>
      </c>
      <c r="F258" s="21" t="str">
        <f t="shared" si="15"/>
        <v xml:space="preserve">273          </v>
      </c>
      <c r="G258" s="21" t="str">
        <f t="shared" si="16"/>
        <v xml:space="preserve">273          </v>
      </c>
      <c r="H258" s="21" t="str">
        <f t="shared" si="17"/>
        <v xml:space="preserve">273          </v>
      </c>
      <c r="I258" s="21" t="str">
        <f t="shared" si="18"/>
        <v xml:space="preserve">273          </v>
      </c>
      <c r="J258" s="21" t="str">
        <f t="shared" si="19"/>
        <v xml:space="preserve">273          </v>
      </c>
      <c r="K258" s="21" t="str">
        <f t="shared" si="20"/>
        <v xml:space="preserve">273          </v>
      </c>
      <c r="L258" s="21" t="str">
        <f t="shared" si="21"/>
        <v xml:space="preserve">0          </v>
      </c>
    </row>
    <row r="259" spans="2:12" outlineLevel="1" x14ac:dyDescent="0.25">
      <c r="B259" s="21" t="str">
        <f t="shared" si="11"/>
        <v xml:space="preserve">280          </v>
      </c>
      <c r="C259" s="21" t="str">
        <f t="shared" si="12"/>
        <v xml:space="preserve">400          </v>
      </c>
      <c r="D259" s="21" t="str">
        <f t="shared" si="13"/>
        <v xml:space="preserve">600          </v>
      </c>
      <c r="E259" s="21" t="str">
        <f t="shared" si="14"/>
        <v xml:space="preserve">280          </v>
      </c>
      <c r="F259" s="21" t="str">
        <f t="shared" si="15"/>
        <v xml:space="preserve">280          </v>
      </c>
      <c r="G259" s="21" t="str">
        <f t="shared" si="16"/>
        <v xml:space="preserve">280          </v>
      </c>
      <c r="H259" s="21" t="str">
        <f t="shared" si="17"/>
        <v xml:space="preserve">280          </v>
      </c>
      <c r="I259" s="21" t="str">
        <f t="shared" si="18"/>
        <v xml:space="preserve">280          </v>
      </c>
      <c r="J259" s="21" t="str">
        <f t="shared" si="19"/>
        <v xml:space="preserve">280          </v>
      </c>
      <c r="K259" s="21" t="str">
        <f t="shared" si="20"/>
        <v xml:space="preserve">280          </v>
      </c>
      <c r="L259" s="21" t="str">
        <f t="shared" si="21"/>
        <v xml:space="preserve">0          </v>
      </c>
    </row>
    <row r="260" spans="2:12" outlineLevel="1" x14ac:dyDescent="0.25">
      <c r="B260" s="21" t="str">
        <f t="shared" si="11"/>
        <v xml:space="preserve">287          </v>
      </c>
      <c r="C260" s="21" t="str">
        <f t="shared" si="12"/>
        <v xml:space="preserve">410          </v>
      </c>
      <c r="D260" s="21" t="str">
        <f t="shared" si="13"/>
        <v xml:space="preserve">615          </v>
      </c>
      <c r="E260" s="21" t="str">
        <f t="shared" si="14"/>
        <v xml:space="preserve">287          </v>
      </c>
      <c r="F260" s="21" t="str">
        <f t="shared" si="15"/>
        <v xml:space="preserve">287          </v>
      </c>
      <c r="G260" s="21" t="str">
        <f t="shared" si="16"/>
        <v xml:space="preserve">287          </v>
      </c>
      <c r="H260" s="21" t="str">
        <f t="shared" si="17"/>
        <v xml:space="preserve">287          </v>
      </c>
      <c r="I260" s="21" t="str">
        <f t="shared" si="18"/>
        <v xml:space="preserve">287          </v>
      </c>
      <c r="J260" s="21" t="str">
        <f t="shared" si="19"/>
        <v xml:space="preserve">287          </v>
      </c>
      <c r="K260" s="21" t="str">
        <f t="shared" si="20"/>
        <v xml:space="preserve">287          </v>
      </c>
      <c r="L260" s="21" t="str">
        <f t="shared" si="21"/>
        <v xml:space="preserve">0          </v>
      </c>
    </row>
    <row r="261" spans="2:12" outlineLevel="1" x14ac:dyDescent="0.25">
      <c r="B261" s="21" t="str">
        <f t="shared" si="11"/>
        <v xml:space="preserve">294          </v>
      </c>
      <c r="C261" s="21" t="str">
        <f t="shared" si="12"/>
        <v xml:space="preserve">420          </v>
      </c>
      <c r="D261" s="21" t="str">
        <f t="shared" si="13"/>
        <v xml:space="preserve">630          </v>
      </c>
      <c r="E261" s="21" t="str">
        <f t="shared" si="14"/>
        <v xml:space="preserve">294          </v>
      </c>
      <c r="F261" s="21" t="str">
        <f t="shared" si="15"/>
        <v xml:space="preserve">294          </v>
      </c>
      <c r="G261" s="21" t="str">
        <f t="shared" si="16"/>
        <v xml:space="preserve">294          </v>
      </c>
      <c r="H261" s="21" t="str">
        <f t="shared" si="17"/>
        <v xml:space="preserve">294          </v>
      </c>
      <c r="I261" s="21" t="str">
        <f t="shared" si="18"/>
        <v xml:space="preserve">294          </v>
      </c>
      <c r="J261" s="21" t="str">
        <f t="shared" si="19"/>
        <v xml:space="preserve">294          </v>
      </c>
      <c r="K261" s="21" t="str">
        <f t="shared" si="20"/>
        <v xml:space="preserve">294          </v>
      </c>
      <c r="L261" s="21" t="str">
        <f t="shared" si="21"/>
        <v xml:space="preserve">0          </v>
      </c>
    </row>
    <row r="262" spans="2:12" outlineLevel="1" x14ac:dyDescent="0.25">
      <c r="B262" s="21" t="str">
        <f t="shared" si="11"/>
        <v xml:space="preserve">301          </v>
      </c>
      <c r="C262" s="21" t="str">
        <f t="shared" si="12"/>
        <v xml:space="preserve">430          </v>
      </c>
      <c r="D262" s="21" t="str">
        <f t="shared" si="13"/>
        <v xml:space="preserve">645          </v>
      </c>
      <c r="E262" s="21" t="str">
        <f t="shared" si="14"/>
        <v xml:space="preserve">301          </v>
      </c>
      <c r="F262" s="21" t="str">
        <f t="shared" si="15"/>
        <v xml:space="preserve">301          </v>
      </c>
      <c r="G262" s="21" t="str">
        <f t="shared" si="16"/>
        <v xml:space="preserve">301          </v>
      </c>
      <c r="H262" s="21" t="str">
        <f t="shared" si="17"/>
        <v xml:space="preserve">301          </v>
      </c>
      <c r="I262" s="21" t="str">
        <f t="shared" si="18"/>
        <v xml:space="preserve">301          </v>
      </c>
      <c r="J262" s="21" t="str">
        <f t="shared" si="19"/>
        <v xml:space="preserve">301          </v>
      </c>
      <c r="K262" s="21" t="str">
        <f t="shared" si="20"/>
        <v xml:space="preserve">301          </v>
      </c>
      <c r="L262" s="21" t="str">
        <f t="shared" si="21"/>
        <v xml:space="preserve">0          </v>
      </c>
    </row>
    <row r="263" spans="2:12" outlineLevel="1" x14ac:dyDescent="0.25">
      <c r="B263" s="21" t="str">
        <f t="shared" si="11"/>
        <v xml:space="preserve">308          </v>
      </c>
      <c r="C263" s="21" t="str">
        <f t="shared" si="12"/>
        <v xml:space="preserve">440          </v>
      </c>
      <c r="D263" s="21" t="str">
        <f t="shared" si="13"/>
        <v xml:space="preserve">660          </v>
      </c>
      <c r="E263" s="21" t="str">
        <f t="shared" si="14"/>
        <v xml:space="preserve">308          </v>
      </c>
      <c r="F263" s="21" t="str">
        <f t="shared" si="15"/>
        <v xml:space="preserve">308          </v>
      </c>
      <c r="G263" s="21" t="str">
        <f t="shared" si="16"/>
        <v xml:space="preserve">308          </v>
      </c>
      <c r="H263" s="21" t="str">
        <f t="shared" si="17"/>
        <v xml:space="preserve">308          </v>
      </c>
      <c r="I263" s="21" t="str">
        <f t="shared" si="18"/>
        <v xml:space="preserve">308          </v>
      </c>
      <c r="J263" s="21" t="str">
        <f t="shared" si="19"/>
        <v xml:space="preserve">308          </v>
      </c>
      <c r="K263" s="21" t="str">
        <f t="shared" si="20"/>
        <v xml:space="preserve">308          </v>
      </c>
      <c r="L263" s="21" t="str">
        <f t="shared" si="21"/>
        <v xml:space="preserve">0          </v>
      </c>
    </row>
    <row r="264" spans="2:12" outlineLevel="1" x14ac:dyDescent="0.25">
      <c r="B264" s="21" t="str">
        <f t="shared" si="11"/>
        <v xml:space="preserve">315          </v>
      </c>
      <c r="C264" s="21" t="str">
        <f t="shared" si="12"/>
        <v xml:space="preserve">450          </v>
      </c>
      <c r="D264" s="21" t="str">
        <f t="shared" si="13"/>
        <v xml:space="preserve">675          </v>
      </c>
      <c r="E264" s="21" t="str">
        <f t="shared" si="14"/>
        <v xml:space="preserve">315          </v>
      </c>
      <c r="F264" s="21" t="str">
        <f t="shared" si="15"/>
        <v xml:space="preserve">315          </v>
      </c>
      <c r="G264" s="21" t="str">
        <f t="shared" si="16"/>
        <v xml:space="preserve">315          </v>
      </c>
      <c r="H264" s="21" t="str">
        <f t="shared" si="17"/>
        <v xml:space="preserve">315          </v>
      </c>
      <c r="I264" s="21" t="str">
        <f t="shared" si="18"/>
        <v xml:space="preserve">315          </v>
      </c>
      <c r="J264" s="21" t="str">
        <f t="shared" si="19"/>
        <v xml:space="preserve">315          </v>
      </c>
      <c r="K264" s="21" t="str">
        <f t="shared" si="20"/>
        <v xml:space="preserve">315          </v>
      </c>
      <c r="L264" s="21" t="str">
        <f t="shared" si="21"/>
        <v xml:space="preserve">0          </v>
      </c>
    </row>
    <row r="265" spans="2:12" outlineLevel="1" x14ac:dyDescent="0.25">
      <c r="B265" s="21" t="str">
        <f t="shared" si="11"/>
        <v xml:space="preserve">322          </v>
      </c>
      <c r="C265" s="21" t="str">
        <f t="shared" si="12"/>
        <v xml:space="preserve">460          </v>
      </c>
      <c r="D265" s="21" t="str">
        <f t="shared" si="13"/>
        <v xml:space="preserve">690          </v>
      </c>
      <c r="E265" s="21" t="str">
        <f t="shared" si="14"/>
        <v xml:space="preserve">322          </v>
      </c>
      <c r="F265" s="21" t="str">
        <f t="shared" si="15"/>
        <v xml:space="preserve">322          </v>
      </c>
      <c r="G265" s="21" t="str">
        <f t="shared" si="16"/>
        <v xml:space="preserve">322          </v>
      </c>
      <c r="H265" s="21" t="str">
        <f t="shared" si="17"/>
        <v xml:space="preserve">322          </v>
      </c>
      <c r="I265" s="21" t="str">
        <f t="shared" si="18"/>
        <v xml:space="preserve">322          </v>
      </c>
      <c r="J265" s="21" t="str">
        <f t="shared" si="19"/>
        <v xml:space="preserve">322          </v>
      </c>
      <c r="K265" s="21" t="str">
        <f t="shared" si="20"/>
        <v xml:space="preserve">322          </v>
      </c>
      <c r="L265" s="21" t="str">
        <f t="shared" si="21"/>
        <v xml:space="preserve">0          </v>
      </c>
    </row>
    <row r="266" spans="2:12" outlineLevel="1" x14ac:dyDescent="0.25">
      <c r="B266" s="21" t="str">
        <f t="shared" si="11"/>
        <v xml:space="preserve">329          </v>
      </c>
      <c r="C266" s="21" t="str">
        <f t="shared" si="12"/>
        <v xml:space="preserve">470          </v>
      </c>
      <c r="D266" s="21" t="str">
        <f t="shared" si="13"/>
        <v xml:space="preserve">705          </v>
      </c>
      <c r="E266" s="21" t="str">
        <f t="shared" si="14"/>
        <v xml:space="preserve">329          </v>
      </c>
      <c r="F266" s="21" t="str">
        <f t="shared" si="15"/>
        <v xml:space="preserve">329          </v>
      </c>
      <c r="G266" s="21" t="str">
        <f t="shared" si="16"/>
        <v xml:space="preserve">329          </v>
      </c>
      <c r="H266" s="21" t="str">
        <f t="shared" si="17"/>
        <v xml:space="preserve">329          </v>
      </c>
      <c r="I266" s="21" t="str">
        <f t="shared" si="18"/>
        <v xml:space="preserve">329          </v>
      </c>
      <c r="J266" s="21" t="str">
        <f t="shared" si="19"/>
        <v xml:space="preserve">329          </v>
      </c>
      <c r="K266" s="21" t="str">
        <f t="shared" si="20"/>
        <v xml:space="preserve">329          </v>
      </c>
      <c r="L266" s="21" t="str">
        <f t="shared" si="21"/>
        <v xml:space="preserve">0          </v>
      </c>
    </row>
    <row r="267" spans="2:12" outlineLevel="1" x14ac:dyDescent="0.25">
      <c r="B267" s="21" t="str">
        <f t="shared" si="11"/>
        <v xml:space="preserve">336          </v>
      </c>
      <c r="C267" s="21" t="str">
        <f t="shared" si="12"/>
        <v xml:space="preserve">480          </v>
      </c>
      <c r="D267" s="21" t="str">
        <f t="shared" si="13"/>
        <v xml:space="preserve">720          </v>
      </c>
      <c r="E267" s="21" t="str">
        <f t="shared" si="14"/>
        <v xml:space="preserve">336          </v>
      </c>
      <c r="F267" s="21" t="str">
        <f t="shared" si="15"/>
        <v xml:space="preserve">336          </v>
      </c>
      <c r="G267" s="21" t="str">
        <f t="shared" si="16"/>
        <v xml:space="preserve">336          </v>
      </c>
      <c r="H267" s="21" t="str">
        <f t="shared" si="17"/>
        <v xml:space="preserve">336          </v>
      </c>
      <c r="I267" s="21" t="str">
        <f t="shared" si="18"/>
        <v xml:space="preserve">336          </v>
      </c>
      <c r="J267" s="21" t="str">
        <f t="shared" si="19"/>
        <v xml:space="preserve">336          </v>
      </c>
      <c r="K267" s="21" t="str">
        <f t="shared" si="20"/>
        <v xml:space="preserve">336          </v>
      </c>
      <c r="L267" s="21" t="str">
        <f t="shared" si="21"/>
        <v xml:space="preserve">0          </v>
      </c>
    </row>
    <row r="268" spans="2:12" outlineLevel="1" x14ac:dyDescent="0.25">
      <c r="B268" s="21" t="str">
        <f t="shared" si="11"/>
        <v xml:space="preserve">343          </v>
      </c>
      <c r="C268" s="21" t="str">
        <f t="shared" si="12"/>
        <v xml:space="preserve">490          </v>
      </c>
      <c r="D268" s="21" t="str">
        <f t="shared" si="13"/>
        <v xml:space="preserve">735          </v>
      </c>
      <c r="E268" s="21" t="str">
        <f t="shared" si="14"/>
        <v xml:space="preserve">343          </v>
      </c>
      <c r="F268" s="21" t="str">
        <f t="shared" si="15"/>
        <v xml:space="preserve">343          </v>
      </c>
      <c r="G268" s="21" t="str">
        <f t="shared" si="16"/>
        <v xml:space="preserve">343          </v>
      </c>
      <c r="H268" s="21" t="str">
        <f t="shared" si="17"/>
        <v xml:space="preserve">343          </v>
      </c>
      <c r="I268" s="21" t="str">
        <f t="shared" si="18"/>
        <v xml:space="preserve">343          </v>
      </c>
      <c r="J268" s="21" t="str">
        <f t="shared" si="19"/>
        <v xml:space="preserve">343          </v>
      </c>
      <c r="K268" s="21" t="str">
        <f t="shared" si="20"/>
        <v xml:space="preserve">343          </v>
      </c>
      <c r="L268" s="21" t="str">
        <f t="shared" si="21"/>
        <v xml:space="preserve">0          </v>
      </c>
    </row>
    <row r="269" spans="2:12" outlineLevel="1" x14ac:dyDescent="0.25">
      <c r="B269" s="21" t="str">
        <f t="shared" si="11"/>
        <v xml:space="preserve">350          </v>
      </c>
      <c r="C269" s="21" t="str">
        <f t="shared" si="12"/>
        <v xml:space="preserve">500          </v>
      </c>
      <c r="D269" s="21" t="str">
        <f t="shared" si="13"/>
        <v xml:space="preserve">750          </v>
      </c>
      <c r="E269" s="21" t="str">
        <f t="shared" si="14"/>
        <v xml:space="preserve">350          </v>
      </c>
      <c r="F269" s="21" t="str">
        <f t="shared" si="15"/>
        <v xml:space="preserve">350          </v>
      </c>
      <c r="G269" s="21" t="str">
        <f t="shared" si="16"/>
        <v xml:space="preserve">350          </v>
      </c>
      <c r="H269" s="21" t="str">
        <f t="shared" si="17"/>
        <v xml:space="preserve">350          </v>
      </c>
      <c r="I269" s="21" t="str">
        <f t="shared" si="18"/>
        <v xml:space="preserve">350          </v>
      </c>
      <c r="J269" s="21" t="str">
        <f t="shared" si="19"/>
        <v xml:space="preserve">350          </v>
      </c>
      <c r="K269" s="21" t="str">
        <f t="shared" si="20"/>
        <v xml:space="preserve">350          </v>
      </c>
      <c r="L269" s="21" t="str">
        <f t="shared" si="21"/>
        <v xml:space="preserve">0          </v>
      </c>
    </row>
    <row r="270" spans="2:12" outlineLevel="1" x14ac:dyDescent="0.25">
      <c r="B270" s="21" t="str">
        <f t="shared" si="11"/>
        <v xml:space="preserve">357          </v>
      </c>
      <c r="C270" s="21" t="str">
        <f t="shared" si="12"/>
        <v xml:space="preserve">510          </v>
      </c>
      <c r="D270" s="21" t="str">
        <f t="shared" si="13"/>
        <v xml:space="preserve">765          </v>
      </c>
      <c r="E270" s="21" t="str">
        <f t="shared" si="14"/>
        <v xml:space="preserve">357          </v>
      </c>
      <c r="F270" s="21" t="str">
        <f t="shared" si="15"/>
        <v xml:space="preserve">357          </v>
      </c>
      <c r="G270" s="21" t="str">
        <f t="shared" si="16"/>
        <v xml:space="preserve">357          </v>
      </c>
      <c r="H270" s="21" t="str">
        <f t="shared" si="17"/>
        <v xml:space="preserve">357          </v>
      </c>
      <c r="I270" s="21" t="str">
        <f t="shared" si="18"/>
        <v xml:space="preserve">357          </v>
      </c>
      <c r="J270" s="21" t="str">
        <f t="shared" si="19"/>
        <v xml:space="preserve">357          </v>
      </c>
      <c r="K270" s="21" t="str">
        <f t="shared" si="20"/>
        <v xml:space="preserve">357          </v>
      </c>
      <c r="L270" s="21" t="str">
        <f t="shared" si="21"/>
        <v xml:space="preserve">0          </v>
      </c>
    </row>
    <row r="271" spans="2:12" outlineLevel="1" x14ac:dyDescent="0.25">
      <c r="B271" s="21" t="str">
        <f t="shared" si="11"/>
        <v xml:space="preserve">364          </v>
      </c>
      <c r="C271" s="21" t="str">
        <f t="shared" si="12"/>
        <v xml:space="preserve">520          </v>
      </c>
      <c r="D271" s="21" t="str">
        <f t="shared" si="13"/>
        <v xml:space="preserve">780          </v>
      </c>
      <c r="E271" s="21" t="str">
        <f t="shared" si="14"/>
        <v xml:space="preserve">364          </v>
      </c>
      <c r="F271" s="21" t="str">
        <f t="shared" si="15"/>
        <v xml:space="preserve">364          </v>
      </c>
      <c r="G271" s="21" t="str">
        <f t="shared" si="16"/>
        <v xml:space="preserve">364          </v>
      </c>
      <c r="H271" s="21" t="str">
        <f t="shared" si="17"/>
        <v xml:space="preserve">364          </v>
      </c>
      <c r="I271" s="21" t="str">
        <f t="shared" si="18"/>
        <v xml:space="preserve">364          </v>
      </c>
      <c r="J271" s="21" t="str">
        <f t="shared" si="19"/>
        <v xml:space="preserve">364          </v>
      </c>
      <c r="K271" s="21" t="str">
        <f t="shared" si="20"/>
        <v xml:space="preserve">364          </v>
      </c>
      <c r="L271" s="21" t="str">
        <f t="shared" si="21"/>
        <v xml:space="preserve">0          </v>
      </c>
    </row>
    <row r="272" spans="2:12" outlineLevel="1" x14ac:dyDescent="0.25">
      <c r="B272" s="21" t="str">
        <f t="shared" si="11"/>
        <v xml:space="preserve">371          </v>
      </c>
      <c r="C272" s="21" t="str">
        <f t="shared" si="12"/>
        <v xml:space="preserve">530          </v>
      </c>
      <c r="D272" s="21" t="str">
        <f t="shared" si="13"/>
        <v xml:space="preserve">795          </v>
      </c>
      <c r="E272" s="21" t="str">
        <f t="shared" si="14"/>
        <v xml:space="preserve">371          </v>
      </c>
      <c r="F272" s="21" t="str">
        <f t="shared" si="15"/>
        <v xml:space="preserve">371          </v>
      </c>
      <c r="G272" s="21" t="str">
        <f t="shared" si="16"/>
        <v xml:space="preserve">371          </v>
      </c>
      <c r="H272" s="21" t="str">
        <f t="shared" si="17"/>
        <v xml:space="preserve">371          </v>
      </c>
      <c r="I272" s="21" t="str">
        <f t="shared" si="18"/>
        <v xml:space="preserve">371          </v>
      </c>
      <c r="J272" s="21" t="str">
        <f t="shared" si="19"/>
        <v xml:space="preserve">371          </v>
      </c>
      <c r="K272" s="21" t="str">
        <f t="shared" si="20"/>
        <v xml:space="preserve">371          </v>
      </c>
      <c r="L272" s="21" t="str">
        <f t="shared" si="21"/>
        <v xml:space="preserve">0          </v>
      </c>
    </row>
    <row r="273" spans="2:12" outlineLevel="1" x14ac:dyDescent="0.25">
      <c r="B273" s="21" t="str">
        <f t="shared" si="11"/>
        <v xml:space="preserve">378          </v>
      </c>
      <c r="C273" s="21" t="str">
        <f t="shared" si="12"/>
        <v xml:space="preserve">540          </v>
      </c>
      <c r="D273" s="21" t="str">
        <f t="shared" si="13"/>
        <v xml:space="preserve">810          </v>
      </c>
      <c r="E273" s="21" t="str">
        <f t="shared" si="14"/>
        <v xml:space="preserve">378          </v>
      </c>
      <c r="F273" s="21" t="str">
        <f t="shared" si="15"/>
        <v xml:space="preserve">378          </v>
      </c>
      <c r="G273" s="21" t="str">
        <f t="shared" si="16"/>
        <v xml:space="preserve">378          </v>
      </c>
      <c r="H273" s="21" t="str">
        <f t="shared" si="17"/>
        <v xml:space="preserve">378          </v>
      </c>
      <c r="I273" s="21" t="str">
        <f t="shared" si="18"/>
        <v xml:space="preserve">378          </v>
      </c>
      <c r="J273" s="21" t="str">
        <f t="shared" si="19"/>
        <v xml:space="preserve">378          </v>
      </c>
      <c r="K273" s="21" t="str">
        <f t="shared" si="20"/>
        <v xml:space="preserve">378          </v>
      </c>
      <c r="L273" s="21" t="str">
        <f t="shared" si="21"/>
        <v xml:space="preserve">0          </v>
      </c>
    </row>
    <row r="274" spans="2:12" outlineLevel="1" x14ac:dyDescent="0.25">
      <c r="B274" s="21" t="str">
        <f t="shared" si="11"/>
        <v xml:space="preserve">385          </v>
      </c>
      <c r="C274" s="21" t="str">
        <f t="shared" si="12"/>
        <v xml:space="preserve">550          </v>
      </c>
      <c r="D274" s="21" t="str">
        <f t="shared" si="13"/>
        <v xml:space="preserve">825          </v>
      </c>
      <c r="E274" s="21" t="str">
        <f t="shared" si="14"/>
        <v xml:space="preserve">385          </v>
      </c>
      <c r="F274" s="21" t="str">
        <f t="shared" si="15"/>
        <v xml:space="preserve">385          </v>
      </c>
      <c r="G274" s="21" t="str">
        <f t="shared" si="16"/>
        <v xml:space="preserve">385          </v>
      </c>
      <c r="H274" s="21" t="str">
        <f t="shared" si="17"/>
        <v xml:space="preserve">385          </v>
      </c>
      <c r="I274" s="21" t="str">
        <f t="shared" si="18"/>
        <v xml:space="preserve">385          </v>
      </c>
      <c r="J274" s="21" t="str">
        <f t="shared" si="19"/>
        <v xml:space="preserve">385          </v>
      </c>
      <c r="K274" s="21" t="str">
        <f t="shared" si="20"/>
        <v xml:space="preserve">385          </v>
      </c>
      <c r="L274" s="21" t="str">
        <f t="shared" si="21"/>
        <v xml:space="preserve">0          </v>
      </c>
    </row>
    <row r="275" spans="2:12" outlineLevel="1" x14ac:dyDescent="0.25">
      <c r="B275" s="21" t="str">
        <f t="shared" si="11"/>
        <v xml:space="preserve">392          </v>
      </c>
      <c r="C275" s="21" t="str">
        <f t="shared" si="12"/>
        <v xml:space="preserve">560          </v>
      </c>
      <c r="D275" s="21" t="str">
        <f t="shared" si="13"/>
        <v xml:space="preserve">840          </v>
      </c>
      <c r="E275" s="21" t="str">
        <f t="shared" si="14"/>
        <v xml:space="preserve">392          </v>
      </c>
      <c r="F275" s="21" t="str">
        <f t="shared" si="15"/>
        <v xml:space="preserve">392          </v>
      </c>
      <c r="G275" s="21" t="str">
        <f t="shared" si="16"/>
        <v xml:space="preserve">392          </v>
      </c>
      <c r="H275" s="21" t="str">
        <f t="shared" si="17"/>
        <v xml:space="preserve">392          </v>
      </c>
      <c r="I275" s="21" t="str">
        <f t="shared" si="18"/>
        <v xml:space="preserve">392          </v>
      </c>
      <c r="J275" s="21" t="str">
        <f t="shared" si="19"/>
        <v xml:space="preserve">392          </v>
      </c>
      <c r="K275" s="21" t="str">
        <f t="shared" si="20"/>
        <v xml:space="preserve">392          </v>
      </c>
      <c r="L275" s="21" t="str">
        <f t="shared" si="21"/>
        <v xml:space="preserve">0          </v>
      </c>
    </row>
    <row r="276" spans="2:12" outlineLevel="1" x14ac:dyDescent="0.25">
      <c r="B276" s="21" t="str">
        <f t="shared" si="11"/>
        <v xml:space="preserve">399          </v>
      </c>
      <c r="C276" s="21" t="str">
        <f t="shared" si="12"/>
        <v xml:space="preserve">570          </v>
      </c>
      <c r="D276" s="21" t="str">
        <f t="shared" si="13"/>
        <v xml:space="preserve">855          </v>
      </c>
      <c r="E276" s="21" t="str">
        <f t="shared" si="14"/>
        <v xml:space="preserve">399          </v>
      </c>
      <c r="F276" s="21" t="str">
        <f t="shared" si="15"/>
        <v xml:space="preserve">399          </v>
      </c>
      <c r="G276" s="21" t="str">
        <f t="shared" si="16"/>
        <v xml:space="preserve">399          </v>
      </c>
      <c r="H276" s="21" t="str">
        <f t="shared" si="17"/>
        <v xml:space="preserve">399          </v>
      </c>
      <c r="I276" s="21" t="str">
        <f t="shared" si="18"/>
        <v xml:space="preserve">399          </v>
      </c>
      <c r="J276" s="21" t="str">
        <f t="shared" si="19"/>
        <v xml:space="preserve">399          </v>
      </c>
      <c r="K276" s="21" t="str">
        <f t="shared" si="20"/>
        <v xml:space="preserve">399          </v>
      </c>
      <c r="L276" s="21" t="str">
        <f t="shared" si="21"/>
        <v xml:space="preserve">0          </v>
      </c>
    </row>
    <row r="277" spans="2:12" outlineLevel="1" x14ac:dyDescent="0.25">
      <c r="B277" s="21" t="str">
        <f t="shared" si="11"/>
        <v xml:space="preserve">406          </v>
      </c>
      <c r="C277" s="21" t="str">
        <f t="shared" si="12"/>
        <v xml:space="preserve">580          </v>
      </c>
      <c r="D277" s="21" t="str">
        <f t="shared" si="13"/>
        <v xml:space="preserve">870          </v>
      </c>
      <c r="E277" s="21" t="str">
        <f t="shared" si="14"/>
        <v xml:space="preserve">406          </v>
      </c>
      <c r="F277" s="21" t="str">
        <f t="shared" si="15"/>
        <v xml:space="preserve">406          </v>
      </c>
      <c r="G277" s="21" t="str">
        <f t="shared" si="16"/>
        <v xml:space="preserve">406          </v>
      </c>
      <c r="H277" s="21" t="str">
        <f t="shared" si="17"/>
        <v xml:space="preserve">406          </v>
      </c>
      <c r="I277" s="21" t="str">
        <f t="shared" si="18"/>
        <v xml:space="preserve">406          </v>
      </c>
      <c r="J277" s="21" t="str">
        <f t="shared" si="19"/>
        <v xml:space="preserve">406          </v>
      </c>
      <c r="K277" s="21" t="str">
        <f t="shared" si="20"/>
        <v xml:space="preserve">406          </v>
      </c>
      <c r="L277" s="21" t="str">
        <f t="shared" si="21"/>
        <v xml:space="preserve">0          </v>
      </c>
    </row>
    <row r="278" spans="2:12" outlineLevel="1" x14ac:dyDescent="0.25">
      <c r="B278" s="21" t="str">
        <f t="shared" si="11"/>
        <v xml:space="preserve">413          </v>
      </c>
      <c r="C278" s="21" t="str">
        <f t="shared" si="12"/>
        <v xml:space="preserve">590          </v>
      </c>
      <c r="D278" s="21" t="str">
        <f t="shared" si="13"/>
        <v xml:space="preserve">885          </v>
      </c>
      <c r="E278" s="21" t="str">
        <f t="shared" si="14"/>
        <v xml:space="preserve">413          </v>
      </c>
      <c r="F278" s="21" t="str">
        <f t="shared" si="15"/>
        <v xml:space="preserve">413          </v>
      </c>
      <c r="G278" s="21" t="str">
        <f t="shared" si="16"/>
        <v xml:space="preserve">413          </v>
      </c>
      <c r="H278" s="21" t="str">
        <f t="shared" si="17"/>
        <v xml:space="preserve">413          </v>
      </c>
      <c r="I278" s="21" t="str">
        <f t="shared" si="18"/>
        <v xml:space="preserve">413          </v>
      </c>
      <c r="J278" s="21" t="str">
        <f t="shared" si="19"/>
        <v xml:space="preserve">413          </v>
      </c>
      <c r="K278" s="21" t="str">
        <f t="shared" si="20"/>
        <v xml:space="preserve">413          </v>
      </c>
      <c r="L278" s="21" t="str">
        <f t="shared" si="21"/>
        <v xml:space="preserve">0          </v>
      </c>
    </row>
    <row r="279" spans="2:12" outlineLevel="1" x14ac:dyDescent="0.25">
      <c r="B279" s="21" t="str">
        <f t="shared" si="11"/>
        <v xml:space="preserve">420          </v>
      </c>
      <c r="C279" s="21" t="str">
        <f t="shared" si="12"/>
        <v xml:space="preserve">600          </v>
      </c>
      <c r="D279" s="21" t="str">
        <f t="shared" si="13"/>
        <v xml:space="preserve">900          </v>
      </c>
      <c r="E279" s="21" t="str">
        <f t="shared" si="14"/>
        <v xml:space="preserve">420          </v>
      </c>
      <c r="F279" s="21" t="str">
        <f t="shared" si="15"/>
        <v xml:space="preserve">420          </v>
      </c>
      <c r="G279" s="21" t="str">
        <f t="shared" si="16"/>
        <v xml:space="preserve">420          </v>
      </c>
      <c r="H279" s="21" t="str">
        <f t="shared" si="17"/>
        <v xml:space="preserve">420          </v>
      </c>
      <c r="I279" s="21" t="str">
        <f t="shared" si="18"/>
        <v xml:space="preserve">420          </v>
      </c>
      <c r="J279" s="21" t="str">
        <f t="shared" si="19"/>
        <v xml:space="preserve">420          </v>
      </c>
      <c r="K279" s="21" t="str">
        <f t="shared" si="20"/>
        <v xml:space="preserve">420          </v>
      </c>
      <c r="L279" s="21" t="str">
        <f t="shared" si="21"/>
        <v xml:space="preserve">0          </v>
      </c>
    </row>
    <row r="280" spans="2:12" outlineLevel="1" x14ac:dyDescent="0.25">
      <c r="B280" s="21" t="str">
        <f t="shared" si="11"/>
        <v xml:space="preserve">427          </v>
      </c>
      <c r="C280" s="21" t="str">
        <f t="shared" si="12"/>
        <v xml:space="preserve">610          </v>
      </c>
      <c r="D280" s="21" t="str">
        <f t="shared" si="13"/>
        <v xml:space="preserve">915          </v>
      </c>
      <c r="E280" s="21" t="str">
        <f t="shared" si="14"/>
        <v xml:space="preserve">427          </v>
      </c>
      <c r="F280" s="21" t="str">
        <f t="shared" si="15"/>
        <v xml:space="preserve">427          </v>
      </c>
      <c r="G280" s="21" t="str">
        <f t="shared" si="16"/>
        <v xml:space="preserve">427          </v>
      </c>
      <c r="H280" s="21" t="str">
        <f t="shared" si="17"/>
        <v xml:space="preserve">427          </v>
      </c>
      <c r="I280" s="21" t="str">
        <f t="shared" si="18"/>
        <v xml:space="preserve">427          </v>
      </c>
      <c r="J280" s="21" t="str">
        <f t="shared" si="19"/>
        <v xml:space="preserve">427          </v>
      </c>
      <c r="K280" s="21" t="str">
        <f t="shared" si="20"/>
        <v xml:space="preserve">427          </v>
      </c>
      <c r="L280" s="21" t="str">
        <f t="shared" si="21"/>
        <v xml:space="preserve">0          </v>
      </c>
    </row>
    <row r="281" spans="2:12" outlineLevel="1" x14ac:dyDescent="0.25">
      <c r="B281" s="21" t="str">
        <f t="shared" si="11"/>
        <v xml:space="preserve">434          </v>
      </c>
      <c r="C281" s="21" t="str">
        <f t="shared" si="12"/>
        <v xml:space="preserve">620          </v>
      </c>
      <c r="D281" s="21" t="str">
        <f t="shared" si="13"/>
        <v xml:space="preserve">930          </v>
      </c>
      <c r="E281" s="21" t="str">
        <f t="shared" si="14"/>
        <v xml:space="preserve">434          </v>
      </c>
      <c r="F281" s="21" t="str">
        <f t="shared" si="15"/>
        <v xml:space="preserve">434          </v>
      </c>
      <c r="G281" s="21" t="str">
        <f t="shared" si="16"/>
        <v xml:space="preserve">434          </v>
      </c>
      <c r="H281" s="21" t="str">
        <f t="shared" si="17"/>
        <v xml:space="preserve">434          </v>
      </c>
      <c r="I281" s="21" t="str">
        <f t="shared" si="18"/>
        <v xml:space="preserve">434          </v>
      </c>
      <c r="J281" s="21" t="str">
        <f t="shared" si="19"/>
        <v xml:space="preserve">434          </v>
      </c>
      <c r="K281" s="21" t="str">
        <f t="shared" si="20"/>
        <v xml:space="preserve">434          </v>
      </c>
      <c r="L281" s="21" t="str">
        <f t="shared" si="21"/>
        <v xml:space="preserve">0          </v>
      </c>
    </row>
    <row r="282" spans="2:12" outlineLevel="1" x14ac:dyDescent="0.25">
      <c r="B282" s="21" t="str">
        <f t="shared" si="11"/>
        <v xml:space="preserve">441          </v>
      </c>
      <c r="C282" s="21" t="str">
        <f t="shared" si="12"/>
        <v xml:space="preserve">630          </v>
      </c>
      <c r="D282" s="21" t="str">
        <f t="shared" si="13"/>
        <v xml:space="preserve">945          </v>
      </c>
      <c r="E282" s="21" t="str">
        <f t="shared" si="14"/>
        <v xml:space="preserve">441          </v>
      </c>
      <c r="F282" s="21" t="str">
        <f t="shared" si="15"/>
        <v xml:space="preserve">441          </v>
      </c>
      <c r="G282" s="21" t="str">
        <f t="shared" si="16"/>
        <v xml:space="preserve">441          </v>
      </c>
      <c r="H282" s="21" t="str">
        <f t="shared" si="17"/>
        <v xml:space="preserve">441          </v>
      </c>
      <c r="I282" s="21" t="str">
        <f t="shared" si="18"/>
        <v xml:space="preserve">441          </v>
      </c>
      <c r="J282" s="21" t="str">
        <f t="shared" si="19"/>
        <v xml:space="preserve">441          </v>
      </c>
      <c r="K282" s="21" t="str">
        <f t="shared" si="20"/>
        <v xml:space="preserve">441          </v>
      </c>
      <c r="L282" s="21" t="str">
        <f t="shared" si="21"/>
        <v xml:space="preserve">0          </v>
      </c>
    </row>
    <row r="283" spans="2:12" outlineLevel="1" x14ac:dyDescent="0.25">
      <c r="B283" s="21" t="str">
        <f t="shared" ref="B283:B314" si="22">IF($B$4, $B78, $B77 / $B$10 &amp; REPT( " ", $B$7 ))</f>
        <v xml:space="preserve">448          </v>
      </c>
      <c r="C283" s="21" t="str">
        <f t="shared" ref="C283:C314" si="23">IF($C$4, $C78, $C77 / $C$10 &amp; REPT( " ", $C$7 ))</f>
        <v xml:space="preserve">640          </v>
      </c>
      <c r="D283" s="21" t="str">
        <f t="shared" ref="D283:D314" si="24">IF($D$4, $D78, $D77 / $D$10 &amp; REPT( " ", $D$7 ))</f>
        <v xml:space="preserve">960          </v>
      </c>
      <c r="E283" s="21" t="str">
        <f t="shared" ref="E283:E314" si="25">IF($E$4, $E78, $E77 / $E$10 &amp; REPT( " ", $E$7 ))</f>
        <v xml:space="preserve">448          </v>
      </c>
      <c r="F283" s="21" t="str">
        <f t="shared" ref="F283:F314" si="26">IF($F$4, $F78, $F77 / $F$10 &amp; REPT( " ", $F$7 ))</f>
        <v xml:space="preserve">448          </v>
      </c>
      <c r="G283" s="21" t="str">
        <f t="shared" ref="G283:G314" si="27">IF($G$4, $G78, $G77 / $G$10 &amp; REPT( " ", $G$7 ))</f>
        <v xml:space="preserve">448          </v>
      </c>
      <c r="H283" s="21" t="str">
        <f t="shared" ref="H283:H314" si="28">IF($H$4, $H78, $H77 / $H$10 &amp; REPT( " ", $H$7 ))</f>
        <v xml:space="preserve">448          </v>
      </c>
      <c r="I283" s="21" t="str">
        <f t="shared" ref="I283:I314" si="29">IF($I$4, $I78, $I77 / $I$10 &amp; REPT( " ", $I$7 ))</f>
        <v xml:space="preserve">448          </v>
      </c>
      <c r="J283" s="21" t="str">
        <f t="shared" ref="J283:J314" si="30">IF($J$4, $J78, $J77 / $J$10 &amp; REPT( " ", $J$7 ))</f>
        <v xml:space="preserve">448          </v>
      </c>
      <c r="K283" s="21" t="str">
        <f t="shared" ref="K283:K314" si="31">IF($K$4, $K78, $K77 / $K$10 &amp; REPT( " ", $K$7 ))</f>
        <v xml:space="preserve">448          </v>
      </c>
      <c r="L283" s="21" t="str">
        <f t="shared" ref="L283:L314" si="32">IF($L$4, $L78, $L77 / $L$10 &amp; REPT( " ", $L$7 ))</f>
        <v xml:space="preserve">0          </v>
      </c>
    </row>
    <row r="284" spans="2:12" outlineLevel="1" x14ac:dyDescent="0.25">
      <c r="B284" s="21" t="str">
        <f t="shared" si="22"/>
        <v xml:space="preserve">455          </v>
      </c>
      <c r="C284" s="21" t="str">
        <f t="shared" si="23"/>
        <v xml:space="preserve">650          </v>
      </c>
      <c r="D284" s="21" t="str">
        <f t="shared" si="24"/>
        <v xml:space="preserve">975          </v>
      </c>
      <c r="E284" s="21" t="str">
        <f t="shared" si="25"/>
        <v xml:space="preserve">455          </v>
      </c>
      <c r="F284" s="21" t="str">
        <f t="shared" si="26"/>
        <v xml:space="preserve">455          </v>
      </c>
      <c r="G284" s="21" t="str">
        <f t="shared" si="27"/>
        <v xml:space="preserve">455          </v>
      </c>
      <c r="H284" s="21" t="str">
        <f t="shared" si="28"/>
        <v xml:space="preserve">455          </v>
      </c>
      <c r="I284" s="21" t="str">
        <f t="shared" si="29"/>
        <v xml:space="preserve">455          </v>
      </c>
      <c r="J284" s="21" t="str">
        <f t="shared" si="30"/>
        <v xml:space="preserve">455          </v>
      </c>
      <c r="K284" s="21" t="str">
        <f t="shared" si="31"/>
        <v xml:space="preserve">455          </v>
      </c>
      <c r="L284" s="21" t="str">
        <f t="shared" si="32"/>
        <v xml:space="preserve">0          </v>
      </c>
    </row>
    <row r="285" spans="2:12" outlineLevel="1" x14ac:dyDescent="0.25">
      <c r="B285" s="21" t="str">
        <f t="shared" si="22"/>
        <v xml:space="preserve">462          </v>
      </c>
      <c r="C285" s="21" t="str">
        <f t="shared" si="23"/>
        <v xml:space="preserve">660          </v>
      </c>
      <c r="D285" s="21" t="str">
        <f t="shared" si="24"/>
        <v xml:space="preserve">990          </v>
      </c>
      <c r="E285" s="21" t="str">
        <f t="shared" si="25"/>
        <v xml:space="preserve">462          </v>
      </c>
      <c r="F285" s="21" t="str">
        <f t="shared" si="26"/>
        <v xml:space="preserve">462          </v>
      </c>
      <c r="G285" s="21" t="str">
        <f t="shared" si="27"/>
        <v xml:space="preserve">462          </v>
      </c>
      <c r="H285" s="21" t="str">
        <f t="shared" si="28"/>
        <v xml:space="preserve">462          </v>
      </c>
      <c r="I285" s="21" t="str">
        <f t="shared" si="29"/>
        <v xml:space="preserve">462          </v>
      </c>
      <c r="J285" s="21" t="str">
        <f t="shared" si="30"/>
        <v xml:space="preserve">462          </v>
      </c>
      <c r="K285" s="21" t="str">
        <f t="shared" si="31"/>
        <v xml:space="preserve">462          </v>
      </c>
      <c r="L285" s="21" t="str">
        <f t="shared" si="32"/>
        <v xml:space="preserve">0          </v>
      </c>
    </row>
    <row r="286" spans="2:12" outlineLevel="1" x14ac:dyDescent="0.25">
      <c r="B286" s="21" t="str">
        <f t="shared" si="22"/>
        <v xml:space="preserve">469          </v>
      </c>
      <c r="C286" s="21" t="str">
        <f t="shared" si="23"/>
        <v xml:space="preserve">670          </v>
      </c>
      <c r="D286" s="21" t="str">
        <f t="shared" si="24"/>
        <v xml:space="preserve">1005          </v>
      </c>
      <c r="E286" s="21" t="str">
        <f t="shared" si="25"/>
        <v xml:space="preserve">469          </v>
      </c>
      <c r="F286" s="21" t="str">
        <f t="shared" si="26"/>
        <v xml:space="preserve">469          </v>
      </c>
      <c r="G286" s="21" t="str">
        <f t="shared" si="27"/>
        <v xml:space="preserve">469          </v>
      </c>
      <c r="H286" s="21" t="str">
        <f t="shared" si="28"/>
        <v xml:space="preserve">469          </v>
      </c>
      <c r="I286" s="21" t="str">
        <f t="shared" si="29"/>
        <v xml:space="preserve">469          </v>
      </c>
      <c r="J286" s="21" t="str">
        <f t="shared" si="30"/>
        <v xml:space="preserve">469          </v>
      </c>
      <c r="K286" s="21" t="str">
        <f t="shared" si="31"/>
        <v xml:space="preserve">469          </v>
      </c>
      <c r="L286" s="21" t="str">
        <f t="shared" si="32"/>
        <v xml:space="preserve">0          </v>
      </c>
    </row>
    <row r="287" spans="2:12" outlineLevel="1" x14ac:dyDescent="0.25">
      <c r="B287" s="21" t="str">
        <f t="shared" si="22"/>
        <v xml:space="preserve">476          </v>
      </c>
      <c r="C287" s="21" t="str">
        <f t="shared" si="23"/>
        <v xml:space="preserve">680          </v>
      </c>
      <c r="D287" s="21" t="str">
        <f t="shared" si="24"/>
        <v xml:space="preserve">1020          </v>
      </c>
      <c r="E287" s="21" t="str">
        <f t="shared" si="25"/>
        <v xml:space="preserve">476          </v>
      </c>
      <c r="F287" s="21" t="str">
        <f t="shared" si="26"/>
        <v xml:space="preserve">476          </v>
      </c>
      <c r="G287" s="21" t="str">
        <f t="shared" si="27"/>
        <v xml:space="preserve">476          </v>
      </c>
      <c r="H287" s="21" t="str">
        <f t="shared" si="28"/>
        <v xml:space="preserve">476          </v>
      </c>
      <c r="I287" s="21" t="str">
        <f t="shared" si="29"/>
        <v xml:space="preserve">476          </v>
      </c>
      <c r="J287" s="21" t="str">
        <f t="shared" si="30"/>
        <v xml:space="preserve">476          </v>
      </c>
      <c r="K287" s="21" t="str">
        <f t="shared" si="31"/>
        <v xml:space="preserve">476          </v>
      </c>
      <c r="L287" s="21" t="str">
        <f t="shared" si="32"/>
        <v xml:space="preserve">0          </v>
      </c>
    </row>
    <row r="288" spans="2:12" outlineLevel="1" x14ac:dyDescent="0.25">
      <c r="B288" s="21" t="str">
        <f t="shared" si="22"/>
        <v xml:space="preserve">483          </v>
      </c>
      <c r="C288" s="21" t="str">
        <f t="shared" si="23"/>
        <v xml:space="preserve">690          </v>
      </c>
      <c r="D288" s="21" t="str">
        <f t="shared" si="24"/>
        <v xml:space="preserve">1035          </v>
      </c>
      <c r="E288" s="21" t="str">
        <f t="shared" si="25"/>
        <v xml:space="preserve">483          </v>
      </c>
      <c r="F288" s="21" t="str">
        <f t="shared" si="26"/>
        <v xml:space="preserve">483          </v>
      </c>
      <c r="G288" s="21" t="str">
        <f t="shared" si="27"/>
        <v xml:space="preserve">483          </v>
      </c>
      <c r="H288" s="21" t="str">
        <f t="shared" si="28"/>
        <v xml:space="preserve">483          </v>
      </c>
      <c r="I288" s="21" t="str">
        <f t="shared" si="29"/>
        <v xml:space="preserve">483          </v>
      </c>
      <c r="J288" s="21" t="str">
        <f t="shared" si="30"/>
        <v xml:space="preserve">483          </v>
      </c>
      <c r="K288" s="21" t="str">
        <f t="shared" si="31"/>
        <v xml:space="preserve">483          </v>
      </c>
      <c r="L288" s="21" t="str">
        <f t="shared" si="32"/>
        <v xml:space="preserve">0          </v>
      </c>
    </row>
    <row r="289" spans="2:12" outlineLevel="1" x14ac:dyDescent="0.25">
      <c r="B289" s="21" t="str">
        <f t="shared" si="22"/>
        <v xml:space="preserve">490          </v>
      </c>
      <c r="C289" s="21" t="str">
        <f t="shared" si="23"/>
        <v xml:space="preserve">700          </v>
      </c>
      <c r="D289" s="21" t="str">
        <f t="shared" si="24"/>
        <v xml:space="preserve">1050          </v>
      </c>
      <c r="E289" s="21" t="str">
        <f t="shared" si="25"/>
        <v xml:space="preserve">490          </v>
      </c>
      <c r="F289" s="21" t="str">
        <f t="shared" si="26"/>
        <v xml:space="preserve">490          </v>
      </c>
      <c r="G289" s="21" t="str">
        <f t="shared" si="27"/>
        <v xml:space="preserve">490          </v>
      </c>
      <c r="H289" s="21" t="str">
        <f t="shared" si="28"/>
        <v xml:space="preserve">490          </v>
      </c>
      <c r="I289" s="21" t="str">
        <f t="shared" si="29"/>
        <v xml:space="preserve">490          </v>
      </c>
      <c r="J289" s="21" t="str">
        <f t="shared" si="30"/>
        <v xml:space="preserve">490          </v>
      </c>
      <c r="K289" s="21" t="str">
        <f t="shared" si="31"/>
        <v xml:space="preserve">490          </v>
      </c>
      <c r="L289" s="21" t="str">
        <f t="shared" si="32"/>
        <v xml:space="preserve">0          </v>
      </c>
    </row>
    <row r="290" spans="2:12" outlineLevel="1" x14ac:dyDescent="0.25">
      <c r="B290" s="21" t="str">
        <f t="shared" si="22"/>
        <v xml:space="preserve">497          </v>
      </c>
      <c r="C290" s="21" t="str">
        <f t="shared" si="23"/>
        <v xml:space="preserve">710          </v>
      </c>
      <c r="D290" s="21" t="str">
        <f t="shared" si="24"/>
        <v xml:space="preserve">1065          </v>
      </c>
      <c r="E290" s="21" t="str">
        <f t="shared" si="25"/>
        <v xml:space="preserve">497          </v>
      </c>
      <c r="F290" s="21" t="str">
        <f t="shared" si="26"/>
        <v xml:space="preserve">497          </v>
      </c>
      <c r="G290" s="21" t="str">
        <f t="shared" si="27"/>
        <v xml:space="preserve">497          </v>
      </c>
      <c r="H290" s="21" t="str">
        <f t="shared" si="28"/>
        <v xml:space="preserve">497          </v>
      </c>
      <c r="I290" s="21" t="str">
        <f t="shared" si="29"/>
        <v xml:space="preserve">497          </v>
      </c>
      <c r="J290" s="21" t="str">
        <f t="shared" si="30"/>
        <v xml:space="preserve">497          </v>
      </c>
      <c r="K290" s="21" t="str">
        <f t="shared" si="31"/>
        <v xml:space="preserve">497          </v>
      </c>
      <c r="L290" s="21" t="str">
        <f t="shared" si="32"/>
        <v xml:space="preserve">0          </v>
      </c>
    </row>
    <row r="291" spans="2:12" outlineLevel="1" x14ac:dyDescent="0.25">
      <c r="B291" s="21" t="str">
        <f t="shared" si="22"/>
        <v xml:space="preserve">504          </v>
      </c>
      <c r="C291" s="21" t="str">
        <f t="shared" si="23"/>
        <v xml:space="preserve">720          </v>
      </c>
      <c r="D291" s="21" t="str">
        <f t="shared" si="24"/>
        <v xml:space="preserve">1080          </v>
      </c>
      <c r="E291" s="21" t="str">
        <f t="shared" si="25"/>
        <v xml:space="preserve">504          </v>
      </c>
      <c r="F291" s="21" t="str">
        <f t="shared" si="26"/>
        <v xml:space="preserve">504          </v>
      </c>
      <c r="G291" s="21" t="str">
        <f t="shared" si="27"/>
        <v xml:space="preserve">504          </v>
      </c>
      <c r="H291" s="21" t="str">
        <f t="shared" si="28"/>
        <v xml:space="preserve">504          </v>
      </c>
      <c r="I291" s="21" t="str">
        <f t="shared" si="29"/>
        <v xml:space="preserve">504          </v>
      </c>
      <c r="J291" s="21" t="str">
        <f t="shared" si="30"/>
        <v xml:space="preserve">504          </v>
      </c>
      <c r="K291" s="21" t="str">
        <f t="shared" si="31"/>
        <v xml:space="preserve">504          </v>
      </c>
      <c r="L291" s="21" t="str">
        <f t="shared" si="32"/>
        <v xml:space="preserve">0          </v>
      </c>
    </row>
    <row r="292" spans="2:12" outlineLevel="1" x14ac:dyDescent="0.25">
      <c r="B292" s="21" t="str">
        <f t="shared" si="22"/>
        <v xml:space="preserve">511          </v>
      </c>
      <c r="C292" s="21" t="str">
        <f t="shared" si="23"/>
        <v xml:space="preserve">730          </v>
      </c>
      <c r="D292" s="21" t="str">
        <f t="shared" si="24"/>
        <v xml:space="preserve">1095          </v>
      </c>
      <c r="E292" s="21" t="str">
        <f t="shared" si="25"/>
        <v xml:space="preserve">511          </v>
      </c>
      <c r="F292" s="21" t="str">
        <f t="shared" si="26"/>
        <v xml:space="preserve">511          </v>
      </c>
      <c r="G292" s="21" t="str">
        <f t="shared" si="27"/>
        <v xml:space="preserve">511          </v>
      </c>
      <c r="H292" s="21" t="str">
        <f t="shared" si="28"/>
        <v xml:space="preserve">511          </v>
      </c>
      <c r="I292" s="21" t="str">
        <f t="shared" si="29"/>
        <v xml:space="preserve">511          </v>
      </c>
      <c r="J292" s="21" t="str">
        <f t="shared" si="30"/>
        <v xml:space="preserve">511          </v>
      </c>
      <c r="K292" s="21" t="str">
        <f t="shared" si="31"/>
        <v xml:space="preserve">511          </v>
      </c>
      <c r="L292" s="21" t="str">
        <f t="shared" si="32"/>
        <v xml:space="preserve">0          </v>
      </c>
    </row>
    <row r="293" spans="2:12" outlineLevel="1" x14ac:dyDescent="0.25">
      <c r="B293" s="21" t="str">
        <f t="shared" si="22"/>
        <v xml:space="preserve">518          </v>
      </c>
      <c r="C293" s="21" t="str">
        <f t="shared" si="23"/>
        <v xml:space="preserve">740          </v>
      </c>
      <c r="D293" s="21" t="str">
        <f t="shared" si="24"/>
        <v xml:space="preserve">1110          </v>
      </c>
      <c r="E293" s="21" t="str">
        <f t="shared" si="25"/>
        <v xml:space="preserve">518          </v>
      </c>
      <c r="F293" s="21" t="str">
        <f t="shared" si="26"/>
        <v xml:space="preserve">518          </v>
      </c>
      <c r="G293" s="21" t="str">
        <f t="shared" si="27"/>
        <v xml:space="preserve">518          </v>
      </c>
      <c r="H293" s="21" t="str">
        <f t="shared" si="28"/>
        <v xml:space="preserve">518          </v>
      </c>
      <c r="I293" s="21" t="str">
        <f t="shared" si="29"/>
        <v xml:space="preserve">518          </v>
      </c>
      <c r="J293" s="21" t="str">
        <f t="shared" si="30"/>
        <v xml:space="preserve">518          </v>
      </c>
      <c r="K293" s="21" t="str">
        <f t="shared" si="31"/>
        <v xml:space="preserve">518          </v>
      </c>
      <c r="L293" s="21" t="str">
        <f t="shared" si="32"/>
        <v xml:space="preserve">0          </v>
      </c>
    </row>
    <row r="294" spans="2:12" outlineLevel="1" x14ac:dyDescent="0.25">
      <c r="B294" s="21" t="str">
        <f t="shared" si="22"/>
        <v xml:space="preserve">525          </v>
      </c>
      <c r="C294" s="21" t="str">
        <f t="shared" si="23"/>
        <v xml:space="preserve">750          </v>
      </c>
      <c r="D294" s="21" t="str">
        <f t="shared" si="24"/>
        <v xml:space="preserve">1125          </v>
      </c>
      <c r="E294" s="21" t="str">
        <f t="shared" si="25"/>
        <v xml:space="preserve">525          </v>
      </c>
      <c r="F294" s="21" t="str">
        <f t="shared" si="26"/>
        <v xml:space="preserve">525          </v>
      </c>
      <c r="G294" s="21" t="str">
        <f t="shared" si="27"/>
        <v xml:space="preserve">525          </v>
      </c>
      <c r="H294" s="21" t="str">
        <f t="shared" si="28"/>
        <v xml:space="preserve">525          </v>
      </c>
      <c r="I294" s="21" t="str">
        <f t="shared" si="29"/>
        <v xml:space="preserve">525          </v>
      </c>
      <c r="J294" s="21" t="str">
        <f t="shared" si="30"/>
        <v xml:space="preserve">525          </v>
      </c>
      <c r="K294" s="21" t="str">
        <f t="shared" si="31"/>
        <v xml:space="preserve">525          </v>
      </c>
      <c r="L294" s="21" t="str">
        <f t="shared" si="32"/>
        <v xml:space="preserve">0          </v>
      </c>
    </row>
    <row r="295" spans="2:12" outlineLevel="1" x14ac:dyDescent="0.25">
      <c r="B295" s="21" t="str">
        <f t="shared" si="22"/>
        <v xml:space="preserve">532          </v>
      </c>
      <c r="C295" s="21" t="str">
        <f t="shared" si="23"/>
        <v xml:space="preserve">760          </v>
      </c>
      <c r="D295" s="21" t="str">
        <f t="shared" si="24"/>
        <v xml:space="preserve">1140          </v>
      </c>
      <c r="E295" s="21" t="str">
        <f t="shared" si="25"/>
        <v xml:space="preserve">532          </v>
      </c>
      <c r="F295" s="21" t="str">
        <f t="shared" si="26"/>
        <v xml:space="preserve">532          </v>
      </c>
      <c r="G295" s="21" t="str">
        <f t="shared" si="27"/>
        <v xml:space="preserve">532          </v>
      </c>
      <c r="H295" s="21" t="str">
        <f t="shared" si="28"/>
        <v xml:space="preserve">532          </v>
      </c>
      <c r="I295" s="21" t="str">
        <f t="shared" si="29"/>
        <v xml:space="preserve">532          </v>
      </c>
      <c r="J295" s="21" t="str">
        <f t="shared" si="30"/>
        <v xml:space="preserve">532          </v>
      </c>
      <c r="K295" s="21" t="str">
        <f t="shared" si="31"/>
        <v xml:space="preserve">532          </v>
      </c>
      <c r="L295" s="21" t="str">
        <f t="shared" si="32"/>
        <v xml:space="preserve">0          </v>
      </c>
    </row>
    <row r="296" spans="2:12" outlineLevel="1" x14ac:dyDescent="0.25">
      <c r="B296" s="21" t="str">
        <f t="shared" si="22"/>
        <v xml:space="preserve">539          </v>
      </c>
      <c r="C296" s="21" t="str">
        <f t="shared" si="23"/>
        <v xml:space="preserve">770          </v>
      </c>
      <c r="D296" s="21" t="str">
        <f t="shared" si="24"/>
        <v xml:space="preserve">1155          </v>
      </c>
      <c r="E296" s="21" t="str">
        <f t="shared" si="25"/>
        <v xml:space="preserve">539          </v>
      </c>
      <c r="F296" s="21" t="str">
        <f t="shared" si="26"/>
        <v xml:space="preserve">539          </v>
      </c>
      <c r="G296" s="21" t="str">
        <f t="shared" si="27"/>
        <v xml:space="preserve">539          </v>
      </c>
      <c r="H296" s="21" t="str">
        <f t="shared" si="28"/>
        <v xml:space="preserve">539          </v>
      </c>
      <c r="I296" s="21" t="str">
        <f t="shared" si="29"/>
        <v xml:space="preserve">539          </v>
      </c>
      <c r="J296" s="21" t="str">
        <f t="shared" si="30"/>
        <v xml:space="preserve">539          </v>
      </c>
      <c r="K296" s="21" t="str">
        <f t="shared" si="31"/>
        <v xml:space="preserve">539          </v>
      </c>
      <c r="L296" s="21" t="str">
        <f t="shared" si="32"/>
        <v xml:space="preserve">0          </v>
      </c>
    </row>
    <row r="297" spans="2:12" outlineLevel="1" x14ac:dyDescent="0.25">
      <c r="B297" s="21" t="str">
        <f t="shared" si="22"/>
        <v xml:space="preserve">546          </v>
      </c>
      <c r="C297" s="21" t="str">
        <f t="shared" si="23"/>
        <v xml:space="preserve">780          </v>
      </c>
      <c r="D297" s="21" t="str">
        <f t="shared" si="24"/>
        <v xml:space="preserve">1170          </v>
      </c>
      <c r="E297" s="21" t="str">
        <f t="shared" si="25"/>
        <v xml:space="preserve">546          </v>
      </c>
      <c r="F297" s="21" t="str">
        <f t="shared" si="26"/>
        <v xml:space="preserve">546          </v>
      </c>
      <c r="G297" s="21" t="str">
        <f t="shared" si="27"/>
        <v xml:space="preserve">546          </v>
      </c>
      <c r="H297" s="21" t="str">
        <f t="shared" si="28"/>
        <v xml:space="preserve">546          </v>
      </c>
      <c r="I297" s="21" t="str">
        <f t="shared" si="29"/>
        <v xml:space="preserve">546          </v>
      </c>
      <c r="J297" s="21" t="str">
        <f t="shared" si="30"/>
        <v xml:space="preserve">546          </v>
      </c>
      <c r="K297" s="21" t="str">
        <f t="shared" si="31"/>
        <v xml:space="preserve">546          </v>
      </c>
      <c r="L297" s="21" t="str">
        <f t="shared" si="32"/>
        <v xml:space="preserve">0          </v>
      </c>
    </row>
    <row r="298" spans="2:12" outlineLevel="1" x14ac:dyDescent="0.25">
      <c r="B298" s="21" t="str">
        <f t="shared" si="22"/>
        <v xml:space="preserve">553          </v>
      </c>
      <c r="C298" s="21" t="str">
        <f t="shared" si="23"/>
        <v xml:space="preserve">790          </v>
      </c>
      <c r="D298" s="21" t="str">
        <f t="shared" si="24"/>
        <v xml:space="preserve">1185          </v>
      </c>
      <c r="E298" s="21" t="str">
        <f t="shared" si="25"/>
        <v xml:space="preserve">553          </v>
      </c>
      <c r="F298" s="21" t="str">
        <f t="shared" si="26"/>
        <v xml:space="preserve">553          </v>
      </c>
      <c r="G298" s="21" t="str">
        <f t="shared" si="27"/>
        <v xml:space="preserve">553          </v>
      </c>
      <c r="H298" s="21" t="str">
        <f t="shared" si="28"/>
        <v xml:space="preserve">553          </v>
      </c>
      <c r="I298" s="21" t="str">
        <f t="shared" si="29"/>
        <v xml:space="preserve">553          </v>
      </c>
      <c r="J298" s="21" t="str">
        <f t="shared" si="30"/>
        <v xml:space="preserve">553          </v>
      </c>
      <c r="K298" s="21" t="str">
        <f t="shared" si="31"/>
        <v xml:space="preserve">553          </v>
      </c>
      <c r="L298" s="21" t="str">
        <f t="shared" si="32"/>
        <v xml:space="preserve">0          </v>
      </c>
    </row>
    <row r="299" spans="2:12" outlineLevel="1" x14ac:dyDescent="0.25">
      <c r="B299" s="21" t="str">
        <f t="shared" si="22"/>
        <v xml:space="preserve">560          </v>
      </c>
      <c r="C299" s="21" t="str">
        <f t="shared" si="23"/>
        <v xml:space="preserve">800          </v>
      </c>
      <c r="D299" s="21" t="str">
        <f t="shared" si="24"/>
        <v xml:space="preserve">1200          </v>
      </c>
      <c r="E299" s="21" t="str">
        <f t="shared" si="25"/>
        <v xml:space="preserve">560          </v>
      </c>
      <c r="F299" s="21" t="str">
        <f t="shared" si="26"/>
        <v xml:space="preserve">560          </v>
      </c>
      <c r="G299" s="21" t="str">
        <f t="shared" si="27"/>
        <v xml:space="preserve">560          </v>
      </c>
      <c r="H299" s="21" t="str">
        <f t="shared" si="28"/>
        <v xml:space="preserve">560          </v>
      </c>
      <c r="I299" s="21" t="str">
        <f t="shared" si="29"/>
        <v xml:space="preserve">560          </v>
      </c>
      <c r="J299" s="21" t="str">
        <f t="shared" si="30"/>
        <v xml:space="preserve">560          </v>
      </c>
      <c r="K299" s="21" t="str">
        <f t="shared" si="31"/>
        <v xml:space="preserve">560          </v>
      </c>
      <c r="L299" s="21" t="str">
        <f t="shared" si="32"/>
        <v xml:space="preserve">0          </v>
      </c>
    </row>
    <row r="300" spans="2:12" outlineLevel="1" x14ac:dyDescent="0.25">
      <c r="B300" s="21" t="str">
        <f t="shared" si="22"/>
        <v xml:space="preserve">567          </v>
      </c>
      <c r="C300" s="21" t="str">
        <f t="shared" si="23"/>
        <v xml:space="preserve">810          </v>
      </c>
      <c r="D300" s="21" t="str">
        <f t="shared" si="24"/>
        <v xml:space="preserve">1215          </v>
      </c>
      <c r="E300" s="21" t="str">
        <f t="shared" si="25"/>
        <v xml:space="preserve">567          </v>
      </c>
      <c r="F300" s="21" t="str">
        <f t="shared" si="26"/>
        <v xml:space="preserve">567          </v>
      </c>
      <c r="G300" s="21" t="str">
        <f t="shared" si="27"/>
        <v xml:space="preserve">567          </v>
      </c>
      <c r="H300" s="21" t="str">
        <f t="shared" si="28"/>
        <v xml:space="preserve">567          </v>
      </c>
      <c r="I300" s="21" t="str">
        <f t="shared" si="29"/>
        <v xml:space="preserve">567          </v>
      </c>
      <c r="J300" s="21" t="str">
        <f t="shared" si="30"/>
        <v xml:space="preserve">567          </v>
      </c>
      <c r="K300" s="21" t="str">
        <f t="shared" si="31"/>
        <v xml:space="preserve">567          </v>
      </c>
      <c r="L300" s="21" t="str">
        <f t="shared" si="32"/>
        <v xml:space="preserve">0          </v>
      </c>
    </row>
    <row r="301" spans="2:12" outlineLevel="1" x14ac:dyDescent="0.25">
      <c r="B301" s="21" t="str">
        <f t="shared" si="22"/>
        <v xml:space="preserve">574          </v>
      </c>
      <c r="C301" s="21" t="str">
        <f t="shared" si="23"/>
        <v xml:space="preserve">820          </v>
      </c>
      <c r="D301" s="21" t="str">
        <f t="shared" si="24"/>
        <v xml:space="preserve">1230          </v>
      </c>
      <c r="E301" s="21" t="str">
        <f t="shared" si="25"/>
        <v xml:space="preserve">574          </v>
      </c>
      <c r="F301" s="21" t="str">
        <f t="shared" si="26"/>
        <v xml:space="preserve">574          </v>
      </c>
      <c r="G301" s="21" t="str">
        <f t="shared" si="27"/>
        <v xml:space="preserve">574          </v>
      </c>
      <c r="H301" s="21" t="str">
        <f t="shared" si="28"/>
        <v xml:space="preserve">574          </v>
      </c>
      <c r="I301" s="21" t="str">
        <f t="shared" si="29"/>
        <v xml:space="preserve">574          </v>
      </c>
      <c r="J301" s="21" t="str">
        <f t="shared" si="30"/>
        <v xml:space="preserve">574          </v>
      </c>
      <c r="K301" s="21" t="str">
        <f t="shared" si="31"/>
        <v xml:space="preserve">574          </v>
      </c>
      <c r="L301" s="21" t="str">
        <f t="shared" si="32"/>
        <v xml:space="preserve">0          </v>
      </c>
    </row>
    <row r="302" spans="2:12" outlineLevel="1" x14ac:dyDescent="0.25">
      <c r="B302" s="21" t="str">
        <f t="shared" si="22"/>
        <v xml:space="preserve">581          </v>
      </c>
      <c r="C302" s="21" t="str">
        <f t="shared" si="23"/>
        <v xml:space="preserve">830          </v>
      </c>
      <c r="D302" s="21" t="str">
        <f t="shared" si="24"/>
        <v xml:space="preserve">1245          </v>
      </c>
      <c r="E302" s="21" t="str">
        <f t="shared" si="25"/>
        <v xml:space="preserve">581          </v>
      </c>
      <c r="F302" s="21" t="str">
        <f t="shared" si="26"/>
        <v xml:space="preserve">581          </v>
      </c>
      <c r="G302" s="21" t="str">
        <f t="shared" si="27"/>
        <v xml:space="preserve">581          </v>
      </c>
      <c r="H302" s="21" t="str">
        <f t="shared" si="28"/>
        <v xml:space="preserve">581          </v>
      </c>
      <c r="I302" s="21" t="str">
        <f t="shared" si="29"/>
        <v xml:space="preserve">581          </v>
      </c>
      <c r="J302" s="21" t="str">
        <f t="shared" si="30"/>
        <v xml:space="preserve">581          </v>
      </c>
      <c r="K302" s="21" t="str">
        <f t="shared" si="31"/>
        <v xml:space="preserve">581          </v>
      </c>
      <c r="L302" s="21" t="str">
        <f t="shared" si="32"/>
        <v xml:space="preserve">0          </v>
      </c>
    </row>
    <row r="303" spans="2:12" outlineLevel="1" x14ac:dyDescent="0.25">
      <c r="B303" s="21" t="str">
        <f t="shared" si="22"/>
        <v xml:space="preserve">588          </v>
      </c>
      <c r="C303" s="21" t="str">
        <f t="shared" si="23"/>
        <v xml:space="preserve">840          </v>
      </c>
      <c r="D303" s="21" t="str">
        <f t="shared" si="24"/>
        <v xml:space="preserve">1260          </v>
      </c>
      <c r="E303" s="21" t="str">
        <f t="shared" si="25"/>
        <v xml:space="preserve">588          </v>
      </c>
      <c r="F303" s="21" t="str">
        <f t="shared" si="26"/>
        <v xml:space="preserve">588          </v>
      </c>
      <c r="G303" s="21" t="str">
        <f t="shared" si="27"/>
        <v xml:space="preserve">588          </v>
      </c>
      <c r="H303" s="21" t="str">
        <f t="shared" si="28"/>
        <v xml:space="preserve">588          </v>
      </c>
      <c r="I303" s="21" t="str">
        <f t="shared" si="29"/>
        <v xml:space="preserve">588          </v>
      </c>
      <c r="J303" s="21" t="str">
        <f t="shared" si="30"/>
        <v xml:space="preserve">588          </v>
      </c>
      <c r="K303" s="21" t="str">
        <f t="shared" si="31"/>
        <v xml:space="preserve">588          </v>
      </c>
      <c r="L303" s="21" t="str">
        <f t="shared" si="32"/>
        <v xml:space="preserve">0          </v>
      </c>
    </row>
    <row r="304" spans="2:12" outlineLevel="1" x14ac:dyDescent="0.25">
      <c r="B304" s="21" t="str">
        <f t="shared" si="22"/>
        <v xml:space="preserve">595          </v>
      </c>
      <c r="C304" s="21" t="str">
        <f t="shared" si="23"/>
        <v xml:space="preserve">850          </v>
      </c>
      <c r="D304" s="21" t="str">
        <f t="shared" si="24"/>
        <v xml:space="preserve">1275          </v>
      </c>
      <c r="E304" s="21" t="str">
        <f t="shared" si="25"/>
        <v xml:space="preserve">595          </v>
      </c>
      <c r="F304" s="21" t="str">
        <f t="shared" si="26"/>
        <v xml:space="preserve">595          </v>
      </c>
      <c r="G304" s="21" t="str">
        <f t="shared" si="27"/>
        <v xml:space="preserve">595          </v>
      </c>
      <c r="H304" s="21" t="str">
        <f t="shared" si="28"/>
        <v xml:space="preserve">595          </v>
      </c>
      <c r="I304" s="21" t="str">
        <f t="shared" si="29"/>
        <v xml:space="preserve">595          </v>
      </c>
      <c r="J304" s="21" t="str">
        <f t="shared" si="30"/>
        <v xml:space="preserve">595          </v>
      </c>
      <c r="K304" s="21" t="str">
        <f t="shared" si="31"/>
        <v xml:space="preserve">595          </v>
      </c>
      <c r="L304" s="21" t="str">
        <f t="shared" si="32"/>
        <v xml:space="preserve">0          </v>
      </c>
    </row>
    <row r="305" spans="2:12" outlineLevel="1" x14ac:dyDescent="0.25">
      <c r="B305" s="21" t="str">
        <f t="shared" si="22"/>
        <v xml:space="preserve">602          </v>
      </c>
      <c r="C305" s="21" t="str">
        <f t="shared" si="23"/>
        <v xml:space="preserve">860          </v>
      </c>
      <c r="D305" s="21" t="str">
        <f t="shared" si="24"/>
        <v xml:space="preserve">1290          </v>
      </c>
      <c r="E305" s="21" t="str">
        <f t="shared" si="25"/>
        <v xml:space="preserve">602          </v>
      </c>
      <c r="F305" s="21" t="str">
        <f t="shared" si="26"/>
        <v xml:space="preserve">602          </v>
      </c>
      <c r="G305" s="21" t="str">
        <f t="shared" si="27"/>
        <v xml:space="preserve">602          </v>
      </c>
      <c r="H305" s="21" t="str">
        <f t="shared" si="28"/>
        <v xml:space="preserve">602          </v>
      </c>
      <c r="I305" s="21" t="str">
        <f t="shared" si="29"/>
        <v xml:space="preserve">602          </v>
      </c>
      <c r="J305" s="21" t="str">
        <f t="shared" si="30"/>
        <v xml:space="preserve">602          </v>
      </c>
      <c r="K305" s="21" t="str">
        <f t="shared" si="31"/>
        <v xml:space="preserve">602          </v>
      </c>
      <c r="L305" s="21" t="str">
        <f t="shared" si="32"/>
        <v xml:space="preserve">0          </v>
      </c>
    </row>
    <row r="306" spans="2:12" outlineLevel="1" x14ac:dyDescent="0.25">
      <c r="B306" s="21" t="str">
        <f t="shared" si="22"/>
        <v xml:space="preserve">609          </v>
      </c>
      <c r="C306" s="21" t="str">
        <f t="shared" si="23"/>
        <v xml:space="preserve">870          </v>
      </c>
      <c r="D306" s="21" t="str">
        <f t="shared" si="24"/>
        <v xml:space="preserve">1305          </v>
      </c>
      <c r="E306" s="21" t="str">
        <f t="shared" si="25"/>
        <v xml:space="preserve">609          </v>
      </c>
      <c r="F306" s="21" t="str">
        <f t="shared" si="26"/>
        <v xml:space="preserve">609          </v>
      </c>
      <c r="G306" s="21" t="str">
        <f t="shared" si="27"/>
        <v xml:space="preserve">609          </v>
      </c>
      <c r="H306" s="21" t="str">
        <f t="shared" si="28"/>
        <v xml:space="preserve">609          </v>
      </c>
      <c r="I306" s="21" t="str">
        <f t="shared" si="29"/>
        <v xml:space="preserve">609          </v>
      </c>
      <c r="J306" s="21" t="str">
        <f t="shared" si="30"/>
        <v xml:space="preserve">609          </v>
      </c>
      <c r="K306" s="21" t="str">
        <f t="shared" si="31"/>
        <v xml:space="preserve">609          </v>
      </c>
      <c r="L306" s="21" t="str">
        <f t="shared" si="32"/>
        <v xml:space="preserve">0          </v>
      </c>
    </row>
    <row r="307" spans="2:12" outlineLevel="1" x14ac:dyDescent="0.25">
      <c r="B307" s="21" t="str">
        <f t="shared" si="22"/>
        <v xml:space="preserve">616          </v>
      </c>
      <c r="C307" s="21" t="str">
        <f t="shared" si="23"/>
        <v xml:space="preserve">880          </v>
      </c>
      <c r="D307" s="21" t="str">
        <f t="shared" si="24"/>
        <v xml:space="preserve">1320          </v>
      </c>
      <c r="E307" s="21" t="str">
        <f t="shared" si="25"/>
        <v xml:space="preserve">616          </v>
      </c>
      <c r="F307" s="21" t="str">
        <f t="shared" si="26"/>
        <v xml:space="preserve">616          </v>
      </c>
      <c r="G307" s="21" t="str">
        <f t="shared" si="27"/>
        <v xml:space="preserve">616          </v>
      </c>
      <c r="H307" s="21" t="str">
        <f t="shared" si="28"/>
        <v xml:space="preserve">616          </v>
      </c>
      <c r="I307" s="21" t="str">
        <f t="shared" si="29"/>
        <v xml:space="preserve">616          </v>
      </c>
      <c r="J307" s="21" t="str">
        <f t="shared" si="30"/>
        <v xml:space="preserve">616          </v>
      </c>
      <c r="K307" s="21" t="str">
        <f t="shared" si="31"/>
        <v xml:space="preserve">616          </v>
      </c>
      <c r="L307" s="21" t="str">
        <f t="shared" si="32"/>
        <v xml:space="preserve">0          </v>
      </c>
    </row>
    <row r="308" spans="2:12" outlineLevel="1" x14ac:dyDescent="0.25">
      <c r="B308" s="21" t="str">
        <f t="shared" si="22"/>
        <v xml:space="preserve">623          </v>
      </c>
      <c r="C308" s="21" t="str">
        <f t="shared" si="23"/>
        <v xml:space="preserve">890          </v>
      </c>
      <c r="D308" s="21" t="str">
        <f t="shared" si="24"/>
        <v xml:space="preserve">1335          </v>
      </c>
      <c r="E308" s="21" t="str">
        <f t="shared" si="25"/>
        <v xml:space="preserve">623          </v>
      </c>
      <c r="F308" s="21" t="str">
        <f t="shared" si="26"/>
        <v xml:space="preserve">623          </v>
      </c>
      <c r="G308" s="21" t="str">
        <f t="shared" si="27"/>
        <v xml:space="preserve">623          </v>
      </c>
      <c r="H308" s="21" t="str">
        <f t="shared" si="28"/>
        <v xml:space="preserve">623          </v>
      </c>
      <c r="I308" s="21" t="str">
        <f t="shared" si="29"/>
        <v xml:space="preserve">623          </v>
      </c>
      <c r="J308" s="21" t="str">
        <f t="shared" si="30"/>
        <v xml:space="preserve">623          </v>
      </c>
      <c r="K308" s="21" t="str">
        <f t="shared" si="31"/>
        <v xml:space="preserve">623          </v>
      </c>
      <c r="L308" s="21" t="str">
        <f t="shared" si="32"/>
        <v xml:space="preserve">0          </v>
      </c>
    </row>
    <row r="309" spans="2:12" outlineLevel="1" x14ac:dyDescent="0.25">
      <c r="B309" s="21" t="str">
        <f t="shared" si="22"/>
        <v xml:space="preserve">630          </v>
      </c>
      <c r="C309" s="21" t="str">
        <f t="shared" si="23"/>
        <v xml:space="preserve">900          </v>
      </c>
      <c r="D309" s="21" t="str">
        <f t="shared" si="24"/>
        <v xml:space="preserve">1350          </v>
      </c>
      <c r="E309" s="21" t="str">
        <f t="shared" si="25"/>
        <v xml:space="preserve">630          </v>
      </c>
      <c r="F309" s="21" t="str">
        <f t="shared" si="26"/>
        <v xml:space="preserve">630          </v>
      </c>
      <c r="G309" s="21" t="str">
        <f t="shared" si="27"/>
        <v xml:space="preserve">630          </v>
      </c>
      <c r="H309" s="21" t="str">
        <f t="shared" si="28"/>
        <v xml:space="preserve">630          </v>
      </c>
      <c r="I309" s="21" t="str">
        <f t="shared" si="29"/>
        <v xml:space="preserve">630          </v>
      </c>
      <c r="J309" s="21" t="str">
        <f t="shared" si="30"/>
        <v xml:space="preserve">630          </v>
      </c>
      <c r="K309" s="21" t="str">
        <f t="shared" si="31"/>
        <v xml:space="preserve">630          </v>
      </c>
      <c r="L309" s="21" t="str">
        <f t="shared" si="32"/>
        <v xml:space="preserve">0          </v>
      </c>
    </row>
    <row r="310" spans="2:12" outlineLevel="1" x14ac:dyDescent="0.25">
      <c r="B310" s="21" t="str">
        <f t="shared" si="22"/>
        <v xml:space="preserve">637          </v>
      </c>
      <c r="C310" s="21" t="str">
        <f t="shared" si="23"/>
        <v xml:space="preserve">910          </v>
      </c>
      <c r="D310" s="21" t="str">
        <f t="shared" si="24"/>
        <v xml:space="preserve">1365          </v>
      </c>
      <c r="E310" s="21" t="str">
        <f t="shared" si="25"/>
        <v xml:space="preserve">637          </v>
      </c>
      <c r="F310" s="21" t="str">
        <f t="shared" si="26"/>
        <v xml:space="preserve">637          </v>
      </c>
      <c r="G310" s="21" t="str">
        <f t="shared" si="27"/>
        <v xml:space="preserve">637          </v>
      </c>
      <c r="H310" s="21" t="str">
        <f t="shared" si="28"/>
        <v xml:space="preserve">637          </v>
      </c>
      <c r="I310" s="21" t="str">
        <f t="shared" si="29"/>
        <v xml:space="preserve">637          </v>
      </c>
      <c r="J310" s="21" t="str">
        <f t="shared" si="30"/>
        <v xml:space="preserve">637          </v>
      </c>
      <c r="K310" s="21" t="str">
        <f t="shared" si="31"/>
        <v xml:space="preserve">637          </v>
      </c>
      <c r="L310" s="21" t="str">
        <f t="shared" si="32"/>
        <v xml:space="preserve">0          </v>
      </c>
    </row>
    <row r="311" spans="2:12" outlineLevel="1" x14ac:dyDescent="0.25">
      <c r="B311" s="21" t="str">
        <f t="shared" si="22"/>
        <v xml:space="preserve">644          </v>
      </c>
      <c r="C311" s="21" t="str">
        <f t="shared" si="23"/>
        <v xml:space="preserve">920          </v>
      </c>
      <c r="D311" s="21" t="str">
        <f t="shared" si="24"/>
        <v xml:space="preserve">1380          </v>
      </c>
      <c r="E311" s="21" t="str">
        <f t="shared" si="25"/>
        <v xml:space="preserve">644          </v>
      </c>
      <c r="F311" s="21" t="str">
        <f t="shared" si="26"/>
        <v xml:space="preserve">644          </v>
      </c>
      <c r="G311" s="21" t="str">
        <f t="shared" si="27"/>
        <v xml:space="preserve">644          </v>
      </c>
      <c r="H311" s="21" t="str">
        <f t="shared" si="28"/>
        <v xml:space="preserve">644          </v>
      </c>
      <c r="I311" s="21" t="str">
        <f t="shared" si="29"/>
        <v xml:space="preserve">644          </v>
      </c>
      <c r="J311" s="21" t="str">
        <f t="shared" si="30"/>
        <v xml:space="preserve">644          </v>
      </c>
      <c r="K311" s="21" t="str">
        <f t="shared" si="31"/>
        <v xml:space="preserve">644          </v>
      </c>
      <c r="L311" s="21" t="str">
        <f t="shared" si="32"/>
        <v xml:space="preserve">0          </v>
      </c>
    </row>
    <row r="312" spans="2:12" outlineLevel="1" x14ac:dyDescent="0.25">
      <c r="B312" s="21" t="str">
        <f t="shared" si="22"/>
        <v xml:space="preserve">651          </v>
      </c>
      <c r="C312" s="21" t="str">
        <f t="shared" si="23"/>
        <v xml:space="preserve">930          </v>
      </c>
      <c r="D312" s="21" t="str">
        <f t="shared" si="24"/>
        <v xml:space="preserve">1395          </v>
      </c>
      <c r="E312" s="21" t="str">
        <f t="shared" si="25"/>
        <v xml:space="preserve">651          </v>
      </c>
      <c r="F312" s="21" t="str">
        <f t="shared" si="26"/>
        <v xml:space="preserve">651          </v>
      </c>
      <c r="G312" s="21" t="str">
        <f t="shared" si="27"/>
        <v xml:space="preserve">651          </v>
      </c>
      <c r="H312" s="21" t="str">
        <f t="shared" si="28"/>
        <v xml:space="preserve">651          </v>
      </c>
      <c r="I312" s="21" t="str">
        <f t="shared" si="29"/>
        <v xml:space="preserve">651          </v>
      </c>
      <c r="J312" s="21" t="str">
        <f t="shared" si="30"/>
        <v xml:space="preserve">651          </v>
      </c>
      <c r="K312" s="21" t="str">
        <f t="shared" si="31"/>
        <v xml:space="preserve">651          </v>
      </c>
      <c r="L312" s="21" t="str">
        <f t="shared" si="32"/>
        <v xml:space="preserve">0          </v>
      </c>
    </row>
    <row r="313" spans="2:12" outlineLevel="1" x14ac:dyDescent="0.25">
      <c r="B313" s="21" t="str">
        <f t="shared" si="22"/>
        <v xml:space="preserve">658          </v>
      </c>
      <c r="C313" s="21" t="str">
        <f t="shared" si="23"/>
        <v xml:space="preserve">940          </v>
      </c>
      <c r="D313" s="21" t="str">
        <f t="shared" si="24"/>
        <v xml:space="preserve">1410          </v>
      </c>
      <c r="E313" s="21" t="str">
        <f t="shared" si="25"/>
        <v xml:space="preserve">658          </v>
      </c>
      <c r="F313" s="21" t="str">
        <f t="shared" si="26"/>
        <v xml:space="preserve">658          </v>
      </c>
      <c r="G313" s="21" t="str">
        <f t="shared" si="27"/>
        <v xml:space="preserve">658          </v>
      </c>
      <c r="H313" s="21" t="str">
        <f t="shared" si="28"/>
        <v xml:space="preserve">658          </v>
      </c>
      <c r="I313" s="21" t="str">
        <f t="shared" si="29"/>
        <v xml:space="preserve">658          </v>
      </c>
      <c r="J313" s="21" t="str">
        <f t="shared" si="30"/>
        <v xml:space="preserve">658          </v>
      </c>
      <c r="K313" s="21" t="str">
        <f t="shared" si="31"/>
        <v xml:space="preserve">658          </v>
      </c>
      <c r="L313" s="21" t="str">
        <f t="shared" si="32"/>
        <v xml:space="preserve">0          </v>
      </c>
    </row>
    <row r="314" spans="2:12" outlineLevel="1" x14ac:dyDescent="0.25">
      <c r="B314" s="21" t="str">
        <f t="shared" si="22"/>
        <v xml:space="preserve">665          </v>
      </c>
      <c r="C314" s="21" t="str">
        <f t="shared" si="23"/>
        <v xml:space="preserve">950          </v>
      </c>
      <c r="D314" s="21" t="str">
        <f t="shared" si="24"/>
        <v xml:space="preserve">1425          </v>
      </c>
      <c r="E314" s="21" t="str">
        <f t="shared" si="25"/>
        <v xml:space="preserve">665          </v>
      </c>
      <c r="F314" s="21" t="str">
        <f t="shared" si="26"/>
        <v xml:space="preserve">665          </v>
      </c>
      <c r="G314" s="21" t="str">
        <f t="shared" si="27"/>
        <v xml:space="preserve">665          </v>
      </c>
      <c r="H314" s="21" t="str">
        <f t="shared" si="28"/>
        <v xml:space="preserve">665          </v>
      </c>
      <c r="I314" s="21" t="str">
        <f t="shared" si="29"/>
        <v xml:space="preserve">665          </v>
      </c>
      <c r="J314" s="21" t="str">
        <f t="shared" si="30"/>
        <v xml:space="preserve">665          </v>
      </c>
      <c r="K314" s="21" t="str">
        <f t="shared" si="31"/>
        <v xml:space="preserve">665          </v>
      </c>
      <c r="L314" s="21" t="str">
        <f t="shared" si="32"/>
        <v xml:space="preserve">0          </v>
      </c>
    </row>
    <row r="315" spans="2:12" outlineLevel="1" x14ac:dyDescent="0.25">
      <c r="B315" s="21" t="str">
        <f t="shared" ref="B315:B320" si="33">IF($B$4, $B110, $B109 / $B$10 &amp; REPT( " ", $B$7 ))</f>
        <v xml:space="preserve">672          </v>
      </c>
      <c r="C315" s="21" t="str">
        <f t="shared" ref="C315:C320" si="34">IF($C$4, $C110, $C109 / $C$10 &amp; REPT( " ", $C$7 ))</f>
        <v xml:space="preserve">960          </v>
      </c>
      <c r="D315" s="21" t="str">
        <f t="shared" ref="D315:D320" si="35">IF($D$4, $D110, $D109 / $D$10 &amp; REPT( " ", $D$7 ))</f>
        <v xml:space="preserve">1440          </v>
      </c>
      <c r="E315" s="21" t="str">
        <f t="shared" ref="E315:E320" si="36">IF($E$4, $E110, $E109 / $E$10 &amp; REPT( " ", $E$7 ))</f>
        <v xml:space="preserve">672          </v>
      </c>
      <c r="F315" s="21" t="str">
        <f t="shared" ref="F315:F320" si="37">IF($F$4, $F110, $F109 / $F$10 &amp; REPT( " ", $F$7 ))</f>
        <v xml:space="preserve">672          </v>
      </c>
      <c r="G315" s="21" t="str">
        <f t="shared" ref="G315:G320" si="38">IF($G$4, $G110, $G109 / $G$10 &amp; REPT( " ", $G$7 ))</f>
        <v xml:space="preserve">672          </v>
      </c>
      <c r="H315" s="21" t="str">
        <f t="shared" ref="H315:H320" si="39">IF($H$4, $H110, $H109 / $H$10 &amp; REPT( " ", $H$7 ))</f>
        <v xml:space="preserve">672          </v>
      </c>
      <c r="I315" s="21" t="str">
        <f t="shared" ref="I315:I320" si="40">IF($I$4, $I110, $I109 / $I$10 &amp; REPT( " ", $I$7 ))</f>
        <v xml:space="preserve">672          </v>
      </c>
      <c r="J315" s="21" t="str">
        <f t="shared" ref="J315:J320" si="41">IF($J$4, $J110, $J109 / $J$10 &amp; REPT( " ", $J$7 ))</f>
        <v xml:space="preserve">672          </v>
      </c>
      <c r="K315" s="21" t="str">
        <f t="shared" ref="K315:K320" si="42">IF($K$4, $K110, $K109 / $K$10 &amp; REPT( " ", $K$7 ))</f>
        <v xml:space="preserve">672          </v>
      </c>
      <c r="L315" s="21" t="str">
        <f t="shared" ref="L315:L320" si="43">IF($L$4, $L110, $L109 / $L$10 &amp; REPT( " ", $L$7 ))</f>
        <v xml:space="preserve">0          </v>
      </c>
    </row>
    <row r="316" spans="2:12" outlineLevel="1" x14ac:dyDescent="0.25">
      <c r="B316" s="21" t="str">
        <f t="shared" si="33"/>
        <v xml:space="preserve">679          </v>
      </c>
      <c r="C316" s="21" t="str">
        <f t="shared" si="34"/>
        <v xml:space="preserve">970          </v>
      </c>
      <c r="D316" s="21" t="str">
        <f t="shared" si="35"/>
        <v xml:space="preserve">1455          </v>
      </c>
      <c r="E316" s="21" t="str">
        <f t="shared" si="36"/>
        <v xml:space="preserve">679          </v>
      </c>
      <c r="F316" s="21" t="str">
        <f t="shared" si="37"/>
        <v xml:space="preserve">679          </v>
      </c>
      <c r="G316" s="21" t="str">
        <f t="shared" si="38"/>
        <v xml:space="preserve">679          </v>
      </c>
      <c r="H316" s="21" t="str">
        <f t="shared" si="39"/>
        <v xml:space="preserve">679          </v>
      </c>
      <c r="I316" s="21" t="str">
        <f t="shared" si="40"/>
        <v xml:space="preserve">679          </v>
      </c>
      <c r="J316" s="21" t="str">
        <f t="shared" si="41"/>
        <v xml:space="preserve">679          </v>
      </c>
      <c r="K316" s="21" t="str">
        <f t="shared" si="42"/>
        <v xml:space="preserve">679          </v>
      </c>
      <c r="L316" s="21" t="str">
        <f t="shared" si="43"/>
        <v xml:space="preserve">0          </v>
      </c>
    </row>
    <row r="317" spans="2:12" outlineLevel="1" x14ac:dyDescent="0.25">
      <c r="B317" s="21" t="str">
        <f t="shared" si="33"/>
        <v xml:space="preserve">686          </v>
      </c>
      <c r="C317" s="21" t="str">
        <f t="shared" si="34"/>
        <v xml:space="preserve">980          </v>
      </c>
      <c r="D317" s="21" t="str">
        <f t="shared" si="35"/>
        <v xml:space="preserve">1470          </v>
      </c>
      <c r="E317" s="21" t="str">
        <f t="shared" si="36"/>
        <v xml:space="preserve">686          </v>
      </c>
      <c r="F317" s="21" t="str">
        <f t="shared" si="37"/>
        <v xml:space="preserve">686          </v>
      </c>
      <c r="G317" s="21" t="str">
        <f t="shared" si="38"/>
        <v xml:space="preserve">686          </v>
      </c>
      <c r="H317" s="21" t="str">
        <f t="shared" si="39"/>
        <v xml:space="preserve">686          </v>
      </c>
      <c r="I317" s="21" t="str">
        <f t="shared" si="40"/>
        <v xml:space="preserve">686          </v>
      </c>
      <c r="J317" s="21" t="str">
        <f t="shared" si="41"/>
        <v xml:space="preserve">686          </v>
      </c>
      <c r="K317" s="21" t="str">
        <f t="shared" si="42"/>
        <v xml:space="preserve">686          </v>
      </c>
      <c r="L317" s="21" t="str">
        <f t="shared" si="43"/>
        <v xml:space="preserve">0          </v>
      </c>
    </row>
    <row r="318" spans="2:12" outlineLevel="1" x14ac:dyDescent="0.25">
      <c r="B318" s="21" t="str">
        <f t="shared" si="33"/>
        <v xml:space="preserve">693          </v>
      </c>
      <c r="C318" s="21" t="str">
        <f t="shared" si="34"/>
        <v xml:space="preserve">990          </v>
      </c>
      <c r="D318" s="21" t="str">
        <f t="shared" si="35"/>
        <v xml:space="preserve">1485          </v>
      </c>
      <c r="E318" s="21" t="str">
        <f t="shared" si="36"/>
        <v xml:space="preserve">693          </v>
      </c>
      <c r="F318" s="21" t="str">
        <f t="shared" si="37"/>
        <v xml:space="preserve">693          </v>
      </c>
      <c r="G318" s="21" t="str">
        <f t="shared" si="38"/>
        <v xml:space="preserve">693          </v>
      </c>
      <c r="H318" s="21" t="str">
        <f t="shared" si="39"/>
        <v xml:space="preserve">693          </v>
      </c>
      <c r="I318" s="21" t="str">
        <f t="shared" si="40"/>
        <v xml:space="preserve">693          </v>
      </c>
      <c r="J318" s="21" t="str">
        <f t="shared" si="41"/>
        <v xml:space="preserve">693          </v>
      </c>
      <c r="K318" s="21" t="str">
        <f t="shared" si="42"/>
        <v xml:space="preserve">693          </v>
      </c>
      <c r="L318" s="21" t="str">
        <f t="shared" si="43"/>
        <v xml:space="preserve">0          </v>
      </c>
    </row>
    <row r="319" spans="2:12" outlineLevel="1" x14ac:dyDescent="0.25">
      <c r="B319" s="21" t="str">
        <f t="shared" si="33"/>
        <v xml:space="preserve">700          </v>
      </c>
      <c r="C319" s="21" t="str">
        <f t="shared" si="34"/>
        <v xml:space="preserve">1000          </v>
      </c>
      <c r="D319" s="21" t="str">
        <f t="shared" si="35"/>
        <v xml:space="preserve">1500          </v>
      </c>
      <c r="E319" s="21" t="str">
        <f t="shared" si="36"/>
        <v xml:space="preserve">700          </v>
      </c>
      <c r="F319" s="21" t="str">
        <f t="shared" si="37"/>
        <v xml:space="preserve">700          </v>
      </c>
      <c r="G319" s="21" t="str">
        <f t="shared" si="38"/>
        <v xml:space="preserve">700          </v>
      </c>
      <c r="H319" s="21" t="str">
        <f t="shared" si="39"/>
        <v xml:space="preserve">700          </v>
      </c>
      <c r="I319" s="21" t="str">
        <f t="shared" si="40"/>
        <v xml:space="preserve">700          </v>
      </c>
      <c r="J319" s="21" t="str">
        <f t="shared" si="41"/>
        <v xml:space="preserve">700          </v>
      </c>
      <c r="K319" s="21" t="str">
        <f t="shared" si="42"/>
        <v xml:space="preserve">700          </v>
      </c>
      <c r="L319" s="21" t="str">
        <f t="shared" si="43"/>
        <v xml:space="preserve">0          </v>
      </c>
    </row>
    <row r="320" spans="2:12" outlineLevel="1" x14ac:dyDescent="0.25">
      <c r="B320" s="21" t="str">
        <f t="shared" si="33"/>
        <v xml:space="preserve">707          </v>
      </c>
      <c r="C320" s="21" t="str">
        <f t="shared" si="34"/>
        <v xml:space="preserve">1010          </v>
      </c>
      <c r="D320" s="21" t="str">
        <f t="shared" si="35"/>
        <v xml:space="preserve">1515          </v>
      </c>
      <c r="E320" s="21" t="str">
        <f t="shared" si="36"/>
        <v xml:space="preserve">707          </v>
      </c>
      <c r="F320" s="21" t="str">
        <f t="shared" si="37"/>
        <v xml:space="preserve">707          </v>
      </c>
      <c r="G320" s="21" t="str">
        <f t="shared" si="38"/>
        <v xml:space="preserve">707          </v>
      </c>
      <c r="H320" s="21" t="str">
        <f t="shared" si="39"/>
        <v xml:space="preserve">707          </v>
      </c>
      <c r="I320" s="21" t="str">
        <f t="shared" si="40"/>
        <v xml:space="preserve">707          </v>
      </c>
      <c r="J320" s="21" t="str">
        <f t="shared" si="41"/>
        <v xml:space="preserve">707          </v>
      </c>
      <c r="K320" s="21" t="str">
        <f t="shared" si="42"/>
        <v xml:space="preserve">707          </v>
      </c>
      <c r="L320" s="21" t="str">
        <f t="shared" si="43"/>
        <v xml:space="preserve">0          </v>
      </c>
    </row>
    <row r="322" spans="1:1" outlineLevel="1" x14ac:dyDescent="0.25">
      <c r="A322">
        <v>1E-3</v>
      </c>
    </row>
    <row r="323" spans="1:1" outlineLevel="1" x14ac:dyDescent="0.25">
      <c r="A323">
        <v>4.0000000000000001E-3</v>
      </c>
    </row>
    <row r="324" spans="1:1" outlineLevel="1" x14ac:dyDescent="0.25">
      <c r="A324">
        <v>7.0000000000000001E-3</v>
      </c>
    </row>
    <row r="325" spans="1:1" outlineLevel="1" x14ac:dyDescent="0.25">
      <c r="A325">
        <v>0.01</v>
      </c>
    </row>
    <row r="326" spans="1:1" outlineLevel="1" x14ac:dyDescent="0.25">
      <c r="A326">
        <v>0.02</v>
      </c>
    </row>
    <row r="327" spans="1:1" outlineLevel="1" x14ac:dyDescent="0.25">
      <c r="A327">
        <v>0.03</v>
      </c>
    </row>
    <row r="328" spans="1:1" outlineLevel="1" x14ac:dyDescent="0.25">
      <c r="A328">
        <v>0.04</v>
      </c>
    </row>
    <row r="329" spans="1:1" outlineLevel="1" x14ac:dyDescent="0.25">
      <c r="A329">
        <v>0.05</v>
      </c>
    </row>
    <row r="330" spans="1:1" outlineLevel="1" x14ac:dyDescent="0.25">
      <c r="A330">
        <v>0.06</v>
      </c>
    </row>
    <row r="331" spans="1:1" outlineLevel="1" x14ac:dyDescent="0.25">
      <c r="A331">
        <v>7.0000000000000007E-2</v>
      </c>
    </row>
    <row r="332" spans="1:1" outlineLevel="1" x14ac:dyDescent="0.25">
      <c r="A332">
        <v>0.08</v>
      </c>
    </row>
    <row r="333" spans="1:1" outlineLevel="1" x14ac:dyDescent="0.25">
      <c r="A333">
        <v>0.09</v>
      </c>
    </row>
    <row r="334" spans="1:1" outlineLevel="1" x14ac:dyDescent="0.25">
      <c r="A334">
        <v>0.1</v>
      </c>
    </row>
    <row r="335" spans="1:1" outlineLevel="1" x14ac:dyDescent="0.25">
      <c r="A335">
        <v>0.11</v>
      </c>
    </row>
    <row r="336" spans="1:1" outlineLevel="1" x14ac:dyDescent="0.25">
      <c r="A336">
        <v>0.12</v>
      </c>
    </row>
    <row r="337" spans="1:1" outlineLevel="1" x14ac:dyDescent="0.25">
      <c r="A337">
        <v>0.13</v>
      </c>
    </row>
    <row r="338" spans="1:1" outlineLevel="1" x14ac:dyDescent="0.25">
      <c r="A338">
        <v>0.14000000000000001</v>
      </c>
    </row>
    <row r="339" spans="1:1" outlineLevel="1" x14ac:dyDescent="0.25">
      <c r="A339">
        <v>0.15</v>
      </c>
    </row>
    <row r="340" spans="1:1" outlineLevel="1" x14ac:dyDescent="0.25">
      <c r="A340">
        <v>0.16</v>
      </c>
    </row>
    <row r="341" spans="1:1" outlineLevel="1" x14ac:dyDescent="0.25">
      <c r="A341">
        <v>0.17</v>
      </c>
    </row>
    <row r="342" spans="1:1" outlineLevel="1" x14ac:dyDescent="0.25">
      <c r="A342">
        <v>0.18</v>
      </c>
    </row>
    <row r="343" spans="1:1" outlineLevel="1" x14ac:dyDescent="0.25">
      <c r="A343">
        <v>0.19</v>
      </c>
    </row>
    <row r="344" spans="1:1" outlineLevel="1" x14ac:dyDescent="0.25">
      <c r="A344">
        <v>0.2</v>
      </c>
    </row>
    <row r="345" spans="1:1" outlineLevel="1" x14ac:dyDescent="0.25">
      <c r="A345">
        <v>0.21</v>
      </c>
    </row>
    <row r="346" spans="1:1" outlineLevel="1" x14ac:dyDescent="0.25">
      <c r="A346">
        <v>0.22</v>
      </c>
    </row>
    <row r="347" spans="1:1" outlineLevel="1" x14ac:dyDescent="0.25">
      <c r="A347">
        <v>0.23</v>
      </c>
    </row>
    <row r="348" spans="1:1" outlineLevel="1" x14ac:dyDescent="0.25">
      <c r="A348">
        <v>0.24</v>
      </c>
    </row>
    <row r="349" spans="1:1" outlineLevel="1" x14ac:dyDescent="0.25">
      <c r="A349">
        <v>0.25</v>
      </c>
    </row>
    <row r="350" spans="1:1" outlineLevel="1" x14ac:dyDescent="0.25">
      <c r="A350">
        <v>0.26</v>
      </c>
    </row>
    <row r="351" spans="1:1" outlineLevel="1" x14ac:dyDescent="0.25">
      <c r="A351">
        <v>0.27</v>
      </c>
    </row>
    <row r="352" spans="1:1" outlineLevel="1" x14ac:dyDescent="0.25">
      <c r="A352">
        <v>0.28000000000000003</v>
      </c>
    </row>
    <row r="353" spans="1:1" outlineLevel="1" x14ac:dyDescent="0.25">
      <c r="A353">
        <v>0.28999999999999998</v>
      </c>
    </row>
    <row r="354" spans="1:1" outlineLevel="1" x14ac:dyDescent="0.25">
      <c r="A354">
        <v>0.3</v>
      </c>
    </row>
    <row r="355" spans="1:1" outlineLevel="1" x14ac:dyDescent="0.25">
      <c r="A355">
        <v>0.31</v>
      </c>
    </row>
    <row r="356" spans="1:1" outlineLevel="1" x14ac:dyDescent="0.25">
      <c r="A356">
        <v>0.32</v>
      </c>
    </row>
    <row r="357" spans="1:1" outlineLevel="1" x14ac:dyDescent="0.25">
      <c r="A357">
        <v>0.33</v>
      </c>
    </row>
    <row r="358" spans="1:1" outlineLevel="1" x14ac:dyDescent="0.25">
      <c r="A358">
        <v>0.34</v>
      </c>
    </row>
    <row r="359" spans="1:1" outlineLevel="1" x14ac:dyDescent="0.25">
      <c r="A359">
        <v>0.35000000000000003</v>
      </c>
    </row>
    <row r="360" spans="1:1" outlineLevel="1" x14ac:dyDescent="0.25">
      <c r="A360">
        <v>0.36</v>
      </c>
    </row>
    <row r="361" spans="1:1" outlineLevel="1" x14ac:dyDescent="0.25">
      <c r="A361">
        <v>0.37</v>
      </c>
    </row>
    <row r="362" spans="1:1" outlineLevel="1" x14ac:dyDescent="0.25">
      <c r="A362">
        <v>0.38</v>
      </c>
    </row>
    <row r="363" spans="1:1" outlineLevel="1" x14ac:dyDescent="0.25">
      <c r="A363">
        <v>0.39</v>
      </c>
    </row>
    <row r="364" spans="1:1" outlineLevel="1" x14ac:dyDescent="0.25">
      <c r="A364">
        <v>0.4</v>
      </c>
    </row>
    <row r="365" spans="1:1" outlineLevel="1" x14ac:dyDescent="0.25">
      <c r="A365">
        <v>0.41000000000000003</v>
      </c>
    </row>
    <row r="366" spans="1:1" outlineLevel="1" x14ac:dyDescent="0.25">
      <c r="A366">
        <v>0.42</v>
      </c>
    </row>
    <row r="367" spans="1:1" outlineLevel="1" x14ac:dyDescent="0.25">
      <c r="A367">
        <v>0.43</v>
      </c>
    </row>
    <row r="368" spans="1:1" outlineLevel="1" x14ac:dyDescent="0.25">
      <c r="A368">
        <v>0.44</v>
      </c>
    </row>
    <row r="369" spans="1:1" outlineLevel="1" x14ac:dyDescent="0.25">
      <c r="A369">
        <v>0.45</v>
      </c>
    </row>
    <row r="370" spans="1:1" outlineLevel="1" x14ac:dyDescent="0.25">
      <c r="A370">
        <v>0.46</v>
      </c>
    </row>
    <row r="371" spans="1:1" outlineLevel="1" x14ac:dyDescent="0.25">
      <c r="A371">
        <v>0.47000000000000003</v>
      </c>
    </row>
    <row r="372" spans="1:1" outlineLevel="1" x14ac:dyDescent="0.25">
      <c r="A372">
        <v>0.48</v>
      </c>
    </row>
    <row r="373" spans="1:1" outlineLevel="1" x14ac:dyDescent="0.25">
      <c r="A373">
        <v>0.49</v>
      </c>
    </row>
    <row r="374" spans="1:1" outlineLevel="1" x14ac:dyDescent="0.25">
      <c r="A374">
        <v>0.5</v>
      </c>
    </row>
    <row r="375" spans="1:1" outlineLevel="1" x14ac:dyDescent="0.25">
      <c r="A375">
        <v>0.51</v>
      </c>
    </row>
    <row r="376" spans="1:1" outlineLevel="1" x14ac:dyDescent="0.25">
      <c r="A376">
        <v>0.52</v>
      </c>
    </row>
    <row r="377" spans="1:1" outlineLevel="1" x14ac:dyDescent="0.25">
      <c r="A377">
        <v>0.53</v>
      </c>
    </row>
    <row r="378" spans="1:1" outlineLevel="1" x14ac:dyDescent="0.25">
      <c r="A378">
        <v>0.54</v>
      </c>
    </row>
    <row r="379" spans="1:1" outlineLevel="1" x14ac:dyDescent="0.25">
      <c r="A379">
        <v>0.55000000000000004</v>
      </c>
    </row>
    <row r="380" spans="1:1" outlineLevel="1" x14ac:dyDescent="0.25">
      <c r="A380">
        <v>0.56000000000000005</v>
      </c>
    </row>
    <row r="381" spans="1:1" outlineLevel="1" x14ac:dyDescent="0.25">
      <c r="A381">
        <v>0.57000000000000006</v>
      </c>
    </row>
    <row r="382" spans="1:1" outlineLevel="1" x14ac:dyDescent="0.25">
      <c r="A382">
        <v>0.57999999999999996</v>
      </c>
    </row>
    <row r="383" spans="1:1" outlineLevel="1" x14ac:dyDescent="0.25">
      <c r="A383">
        <v>0.59</v>
      </c>
    </row>
    <row r="384" spans="1:1" outlineLevel="1" x14ac:dyDescent="0.25">
      <c r="A384">
        <v>0.6</v>
      </c>
    </row>
    <row r="385" spans="1:1" outlineLevel="1" x14ac:dyDescent="0.25">
      <c r="A385">
        <v>0.61</v>
      </c>
    </row>
    <row r="386" spans="1:1" outlineLevel="1" x14ac:dyDescent="0.25">
      <c r="A386">
        <v>0.62</v>
      </c>
    </row>
    <row r="387" spans="1:1" outlineLevel="1" x14ac:dyDescent="0.25">
      <c r="A387">
        <v>0.63</v>
      </c>
    </row>
    <row r="388" spans="1:1" outlineLevel="1" x14ac:dyDescent="0.25">
      <c r="A388">
        <v>0.64</v>
      </c>
    </row>
    <row r="389" spans="1:1" outlineLevel="1" x14ac:dyDescent="0.25">
      <c r="A389">
        <v>0.65</v>
      </c>
    </row>
    <row r="390" spans="1:1" outlineLevel="1" x14ac:dyDescent="0.25">
      <c r="A390">
        <v>0.66</v>
      </c>
    </row>
    <row r="391" spans="1:1" outlineLevel="1" x14ac:dyDescent="0.25">
      <c r="A391">
        <v>0.67</v>
      </c>
    </row>
    <row r="392" spans="1:1" outlineLevel="1" x14ac:dyDescent="0.25">
      <c r="A392">
        <v>0.68</v>
      </c>
    </row>
    <row r="393" spans="1:1" outlineLevel="1" x14ac:dyDescent="0.25">
      <c r="A393">
        <v>0.69000000000000006</v>
      </c>
    </row>
    <row r="394" spans="1:1" outlineLevel="1" x14ac:dyDescent="0.25">
      <c r="A394">
        <v>0.70000000000000007</v>
      </c>
    </row>
    <row r="395" spans="1:1" outlineLevel="1" x14ac:dyDescent="0.25">
      <c r="A395">
        <v>0.71</v>
      </c>
    </row>
    <row r="396" spans="1:1" outlineLevel="1" x14ac:dyDescent="0.25">
      <c r="A396">
        <v>0.72</v>
      </c>
    </row>
    <row r="397" spans="1:1" outlineLevel="1" x14ac:dyDescent="0.25">
      <c r="A397">
        <v>0.73</v>
      </c>
    </row>
    <row r="398" spans="1:1" outlineLevel="1" x14ac:dyDescent="0.25">
      <c r="A398">
        <v>0.74</v>
      </c>
    </row>
    <row r="399" spans="1:1" outlineLevel="1" x14ac:dyDescent="0.25">
      <c r="A399">
        <v>0.75</v>
      </c>
    </row>
    <row r="400" spans="1:1" outlineLevel="1" x14ac:dyDescent="0.25">
      <c r="A400">
        <v>0.76</v>
      </c>
    </row>
    <row r="401" spans="1:1" outlineLevel="1" x14ac:dyDescent="0.25">
      <c r="A401">
        <v>0.77</v>
      </c>
    </row>
    <row r="402" spans="1:1" outlineLevel="1" x14ac:dyDescent="0.25">
      <c r="A402">
        <v>0.78</v>
      </c>
    </row>
    <row r="403" spans="1:1" outlineLevel="1" x14ac:dyDescent="0.25">
      <c r="A403">
        <v>0.79</v>
      </c>
    </row>
    <row r="404" spans="1:1" outlineLevel="1" x14ac:dyDescent="0.25">
      <c r="A404">
        <v>0.8</v>
      </c>
    </row>
    <row r="405" spans="1:1" outlineLevel="1" x14ac:dyDescent="0.25">
      <c r="A405">
        <v>0.81</v>
      </c>
    </row>
    <row r="406" spans="1:1" outlineLevel="1" x14ac:dyDescent="0.25">
      <c r="A406">
        <v>0.82000000000000006</v>
      </c>
    </row>
    <row r="407" spans="1:1" outlineLevel="1" x14ac:dyDescent="0.25">
      <c r="A407">
        <v>0.83000000000000007</v>
      </c>
    </row>
    <row r="408" spans="1:1" outlineLevel="1" x14ac:dyDescent="0.25">
      <c r="A408">
        <v>0.84</v>
      </c>
    </row>
    <row r="409" spans="1:1" outlineLevel="1" x14ac:dyDescent="0.25">
      <c r="A409">
        <v>0.85</v>
      </c>
    </row>
    <row r="410" spans="1:1" outlineLevel="1" x14ac:dyDescent="0.25">
      <c r="A410">
        <v>0.86</v>
      </c>
    </row>
    <row r="411" spans="1:1" outlineLevel="1" x14ac:dyDescent="0.25">
      <c r="A411">
        <v>0.87</v>
      </c>
    </row>
    <row r="412" spans="1:1" outlineLevel="1" x14ac:dyDescent="0.25">
      <c r="A412">
        <v>0.88</v>
      </c>
    </row>
    <row r="413" spans="1:1" outlineLevel="1" x14ac:dyDescent="0.25">
      <c r="A413">
        <v>0.89</v>
      </c>
    </row>
    <row r="414" spans="1:1" outlineLevel="1" x14ac:dyDescent="0.25">
      <c r="A414">
        <v>0.9</v>
      </c>
    </row>
    <row r="415" spans="1:1" outlineLevel="1" x14ac:dyDescent="0.25">
      <c r="A415">
        <v>0.91</v>
      </c>
    </row>
    <row r="416" spans="1:1" outlineLevel="1" x14ac:dyDescent="0.25">
      <c r="A416">
        <v>0.92</v>
      </c>
    </row>
    <row r="417" spans="1:1" outlineLevel="1" x14ac:dyDescent="0.25">
      <c r="A417">
        <v>0.93</v>
      </c>
    </row>
    <row r="418" spans="1:1" outlineLevel="1" x14ac:dyDescent="0.25">
      <c r="A418">
        <v>0.94000000000000006</v>
      </c>
    </row>
    <row r="419" spans="1:1" outlineLevel="1" x14ac:dyDescent="0.25">
      <c r="A419">
        <v>0.95000000000000007</v>
      </c>
    </row>
    <row r="420" spans="1:1" outlineLevel="1" x14ac:dyDescent="0.25">
      <c r="A420">
        <v>0.96</v>
      </c>
    </row>
    <row r="421" spans="1:1" outlineLevel="1" x14ac:dyDescent="0.25">
      <c r="A421">
        <v>0.97</v>
      </c>
    </row>
    <row r="422" spans="1:1" outlineLevel="1" x14ac:dyDescent="0.25">
      <c r="A422">
        <v>0.98</v>
      </c>
    </row>
    <row r="423" spans="1:1" outlineLevel="1" x14ac:dyDescent="0.25">
      <c r="A423">
        <v>0.99</v>
      </c>
    </row>
    <row r="424" spans="1:1" outlineLevel="1" x14ac:dyDescent="0.25">
      <c r="A424">
        <v>0.99299999999999999</v>
      </c>
    </row>
    <row r="425" spans="1:1" outlineLevel="1" x14ac:dyDescent="0.25">
      <c r="A425">
        <v>0.996</v>
      </c>
    </row>
    <row r="426" spans="1:1" outlineLevel="1" x14ac:dyDescent="0.25">
      <c r="A426">
        <v>0.999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48</vt:i4>
      </vt:variant>
    </vt:vector>
  </HeadingPairs>
  <TitlesOfParts>
    <vt:vector size="54" baseType="lpstr">
      <vt:lpstr>Описание</vt:lpstr>
      <vt:lpstr>Риск_калькулятор</vt:lpstr>
      <vt:lpstr>Графики</vt:lpstr>
      <vt:lpstr>ModelRiskSYS1</vt:lpstr>
      <vt:lpstr>PMTable</vt:lpstr>
      <vt:lpstr>SIPmath Chart Data</vt:lpstr>
      <vt:lpstr>PM_cdf_Y</vt:lpstr>
      <vt:lpstr>PM_Index</vt:lpstr>
      <vt:lpstr>PM_Risk_1_bins</vt:lpstr>
      <vt:lpstr>PM_Risk_1_freq</vt:lpstr>
      <vt:lpstr>PM_Risk_1_lbls</vt:lpstr>
      <vt:lpstr>PM_Risk_10_bins</vt:lpstr>
      <vt:lpstr>PM_Risk_10_freq</vt:lpstr>
      <vt:lpstr>PM_Risk_10_lbls</vt:lpstr>
      <vt:lpstr>PM_Risk_2_bins</vt:lpstr>
      <vt:lpstr>PM_Risk_2_freq</vt:lpstr>
      <vt:lpstr>PM_Risk_2_lbls</vt:lpstr>
      <vt:lpstr>PM_Risk_3_bins</vt:lpstr>
      <vt:lpstr>PM_Risk_3_freq</vt:lpstr>
      <vt:lpstr>PM_Risk_3_lbls</vt:lpstr>
      <vt:lpstr>PM_Risk_4_bins</vt:lpstr>
      <vt:lpstr>PM_Risk_4_freq</vt:lpstr>
      <vt:lpstr>PM_Risk_4_lbls</vt:lpstr>
      <vt:lpstr>PM_Risk_5_bins</vt:lpstr>
      <vt:lpstr>PM_Risk_5_freq</vt:lpstr>
      <vt:lpstr>PM_Risk_5_lbls</vt:lpstr>
      <vt:lpstr>PM_Risk_6_bins</vt:lpstr>
      <vt:lpstr>PM_Risk_6_freq</vt:lpstr>
      <vt:lpstr>PM_Risk_6_lbls</vt:lpstr>
      <vt:lpstr>PM_Risk_7_bins</vt:lpstr>
      <vt:lpstr>PM_Risk_7_freq</vt:lpstr>
      <vt:lpstr>PM_Risk_7_lbls</vt:lpstr>
      <vt:lpstr>PM_Risk_8_bins</vt:lpstr>
      <vt:lpstr>PM_Risk_8_freq</vt:lpstr>
      <vt:lpstr>PM_Risk_8_lbls</vt:lpstr>
      <vt:lpstr>PM_Risk_9_bins</vt:lpstr>
      <vt:lpstr>PM_Risk_9_freq</vt:lpstr>
      <vt:lpstr>PM_Risk_9_lbls</vt:lpstr>
      <vt:lpstr>PM_Total_bins</vt:lpstr>
      <vt:lpstr>PM_Total_freq</vt:lpstr>
      <vt:lpstr>PM_Total_lbls</vt:lpstr>
      <vt:lpstr>Risk_1</vt:lpstr>
      <vt:lpstr>Risk_10</vt:lpstr>
      <vt:lpstr>Risk_2</vt:lpstr>
      <vt:lpstr>Risk_3</vt:lpstr>
      <vt:lpstr>Risk_4</vt:lpstr>
      <vt:lpstr>Risk_5</vt:lpstr>
      <vt:lpstr>Risk_6</vt:lpstr>
      <vt:lpstr>Risk_7</vt:lpstr>
      <vt:lpstr>Risk_8</vt:lpstr>
      <vt:lpstr>Risk_9</vt:lpstr>
      <vt:lpstr>Total</vt:lpstr>
      <vt:lpstr>Графики!Область_печати</vt:lpstr>
      <vt:lpstr>Описание!Область_печати</vt:lpstr>
    </vt:vector>
  </TitlesOfParts>
  <Company>РОСНАНО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Шибаев Евгений Сергеевич</dc:creator>
  <cp:lastModifiedBy>Gasym Valiyev</cp:lastModifiedBy>
  <cp:lastPrinted>2019-09-05T15:51:06Z</cp:lastPrinted>
  <dcterms:created xsi:type="dcterms:W3CDTF">2019-08-05T07:33:54Z</dcterms:created>
  <dcterms:modified xsi:type="dcterms:W3CDTF">2026-01-15T16:24:20Z</dcterms:modified>
</cp:coreProperties>
</file>