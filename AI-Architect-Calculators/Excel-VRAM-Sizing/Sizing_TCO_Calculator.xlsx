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Hardware Sizing" sheetId="1" state="visible" r:id="rId1"/>
    <sheet name="2. Cloud Comparison" sheetId="2" state="visible" r:id="rId2"/>
    <sheet name="3. Optimization" sheetId="3" state="visible" r:id="rId3"/>
    <sheet name="4. Recommen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x&quot;"/>
  </numFmts>
  <fonts count="13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  <sz val="10"/>
    </font>
    <font>
      <b val="1"/>
      <color rgb="00FFFFFF"/>
      <sz val="12"/>
    </font>
    <font>
      <b val="1"/>
      <color rgb="009C6500"/>
      <sz val="11"/>
    </font>
    <font>
      <b val="1"/>
      <color rgb="002F5496"/>
      <sz val="11"/>
    </font>
    <font>
      <b val="1"/>
      <sz val="11"/>
    </font>
    <font>
      <sz val="11"/>
    </font>
    <font>
      <b val="1"/>
      <color rgb="00FFFFFF"/>
      <sz val="13"/>
    </font>
    <font>
      <b val="1"/>
      <color rgb="00006100"/>
      <sz val="11"/>
    </font>
    <font>
      <b val="1"/>
      <color rgb="009C0006"/>
      <sz val="11"/>
    </font>
    <font>
      <b val="1"/>
      <color rgb="002F5496"/>
      <sz val="13"/>
    </font>
    <font>
      <b val="1"/>
      <color rgb="00006100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2" fontId="5" fillId="4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2" fontId="7" fillId="0" borderId="1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2" fontId="8" fillId="2" borderId="1" applyAlignment="1" pivotButton="0" quotePrefix="0" xfId="0">
      <alignment wrapText="1"/>
    </xf>
    <xf numFmtId="0" fontId="9" fillId="5" borderId="1" applyAlignment="1" pivotButton="0" quotePrefix="0" xfId="0">
      <alignment wrapText="1"/>
    </xf>
    <xf numFmtId="0" fontId="10" fillId="6" borderId="1" applyAlignment="1" pivotButton="0" quotePrefix="0" xfId="0">
      <alignment wrapText="1"/>
    </xf>
    <xf numFmtId="0" fontId="11" fillId="0" borderId="0" pivotButton="0" quotePrefix="0" xfId="0"/>
    <xf numFmtId="3" fontId="7" fillId="0" borderId="1" applyAlignment="1" pivotButton="0" quotePrefix="0" xfId="0">
      <alignment wrapText="1"/>
    </xf>
    <xf numFmtId="3" fontId="9" fillId="5" borderId="1" applyAlignment="1" pivotButton="0" quotePrefix="0" xfId="0">
      <alignment wrapText="1"/>
    </xf>
    <xf numFmtId="3" fontId="5" fillId="4" borderId="1" applyAlignment="1" pivotButton="0" quotePrefix="0" xfId="0">
      <alignment wrapText="1"/>
    </xf>
    <xf numFmtId="9" fontId="7" fillId="0" borderId="1" applyAlignment="1" pivotButton="0" quotePrefix="0" xfId="0">
      <alignment wrapText="1"/>
    </xf>
    <xf numFmtId="9" fontId="9" fillId="5" borderId="1" applyAlignment="1" pivotButton="0" quotePrefix="0" xfId="0">
      <alignment wrapText="1"/>
    </xf>
    <xf numFmtId="0" fontId="12" fillId="0" borderId="0" pivotButton="0" quotePrefix="0" xfId="0"/>
    <xf numFmtId="0" fontId="7" fillId="0" borderId="0" pivotButton="0" quotePrefix="0" xfId="0"/>
    <xf numFmtId="0" fontId="11" fillId="0" borderId="1" applyAlignment="1" pivotButton="0" quotePrefix="0" xfId="0">
      <alignment wrapText="1"/>
    </xf>
    <xf numFmtId="164" fontId="5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  <col width="48" customWidth="1" min="4" max="4"/>
    <col width="45" customWidth="1" min="5" max="5"/>
  </cols>
  <sheetData>
    <row r="1">
      <c r="A1" s="1" t="inlineStr">
        <is>
          <t>VRAM SIZING CALCULATOR</t>
        </is>
      </c>
    </row>
    <row r="2">
      <c r="A2" s="2" t="inlineStr">
        <is>
          <t>Yellow cells = user inputs (edit freely); blue cells = computed formulas</t>
        </is>
      </c>
    </row>
    <row r="3">
      <c r="A3" s="3" t="inlineStr">
        <is>
          <t>Parameter</t>
        </is>
      </c>
      <c r="B3" s="3" t="inlineStr">
        <is>
          <t>FP16</t>
        </is>
      </c>
      <c r="C3" s="3" t="inlineStr">
        <is>
          <t>INT4</t>
        </is>
      </c>
      <c r="D3" s="3" t="inlineStr">
        <is>
          <t>Note</t>
        </is>
      </c>
    </row>
    <row r="4">
      <c r="A4" s="4" t="inlineStr">
        <is>
          <t>[INPUT] Parameters (billions)</t>
        </is>
      </c>
      <c r="B4" s="4" t="n">
        <v>70</v>
      </c>
      <c r="C4" s="4" t="n">
        <v>70</v>
      </c>
      <c r="D4" s="4" t="inlineStr">
        <is>
          <t>Model parameter count</t>
        </is>
      </c>
    </row>
    <row r="5">
      <c r="A5" s="4" t="inlineStr">
        <is>
          <t>[INPUT] Bytes per parameter (model weights)</t>
        </is>
      </c>
      <c r="B5" s="4" t="n">
        <v>2</v>
      </c>
      <c r="C5" s="4" t="n">
        <v>0.5</v>
      </c>
      <c r="D5" s="4" t="inlineStr">
        <is>
          <t>FP16 = 2, INT8 = 1, INT4 = 0.5</t>
        </is>
      </c>
    </row>
    <row r="6">
      <c r="A6" s="5" t="inlineStr">
        <is>
          <t>Model size (GiB)</t>
        </is>
      </c>
      <c r="B6" s="6">
        <f>B4*1000000000*B5/(1024*1024*1024)</f>
        <v/>
      </c>
      <c r="C6" s="6">
        <f>C4*1000000000*C5/(1024*1024*1024)</f>
        <v/>
      </c>
      <c r="D6" s="5" t="inlineStr">
        <is>
          <t>params * 1e9 * bytes_per_param / 1024^3</t>
        </is>
      </c>
    </row>
    <row r="8">
      <c r="A8" s="7" t="inlineStr">
        <is>
          <t>--- KV Cache (per request) ---</t>
        </is>
      </c>
      <c r="B8" s="7" t="n"/>
      <c r="C8" s="7" t="n"/>
      <c r="D8" s="7" t="n"/>
    </row>
    <row r="9">
      <c r="A9" s="4" t="inlineStr">
        <is>
          <t>[INPUT] Layers</t>
        </is>
      </c>
      <c r="B9" s="4" t="n">
        <v>80</v>
      </c>
      <c r="C9" s="4" t="n">
        <v>80</v>
      </c>
      <c r="D9" s="4" t="inlineStr">
        <is>
          <t>Number of transformer layers</t>
        </is>
      </c>
    </row>
    <row r="10">
      <c r="A10" s="4" t="inlineStr">
        <is>
          <t>[INPUT] head_dim</t>
        </is>
      </c>
      <c r="B10" s="4" t="n">
        <v>128</v>
      </c>
      <c r="C10" s="4" t="n">
        <v>128</v>
      </c>
      <c r="D10" s="4" t="inlineStr">
        <is>
          <t>hidden_size / num_attention_heads</t>
        </is>
      </c>
    </row>
    <row r="11">
      <c r="A11" s="4" t="inlineStr">
        <is>
          <t>[INPUT] num_kv_heads</t>
        </is>
      </c>
      <c r="B11" s="4" t="n">
        <v>8</v>
      </c>
      <c r="C11" s="4" t="n">
        <v>8</v>
      </c>
      <c r="D11" s="4" t="inlineStr">
        <is>
          <t>KV-head groups (GQA); equals num_heads if MHA</t>
        </is>
      </c>
    </row>
    <row r="12">
      <c r="A12" s="4" t="inlineStr">
        <is>
          <t>[INPUT] seq_len (tokens)</t>
        </is>
      </c>
      <c r="B12" s="4" t="n">
        <v>2048</v>
      </c>
      <c r="C12" s="4" t="n">
        <v>2048</v>
      </c>
      <c r="D12" s="4" t="inlineStr">
        <is>
          <t>Average request length in tokens</t>
        </is>
      </c>
    </row>
    <row r="13">
      <c r="A13" s="4" t="inlineStr">
        <is>
          <t>[INPUT] KV cache dtype (bytes per element)</t>
        </is>
      </c>
      <c r="B13" s="4" t="n">
        <v>2</v>
      </c>
      <c r="C13" s="4" t="n">
        <v>2</v>
      </c>
      <c r="D13" s="4" t="inlineStr">
        <is>
          <t>FP16 = 2, INT8 = 1, INT4 = 0.5</t>
        </is>
      </c>
    </row>
    <row r="14">
      <c r="A14" s="5" t="inlineStr">
        <is>
          <t>KV Cache per request (MiB)</t>
        </is>
      </c>
      <c r="B14" s="6">
        <f>2*B9*B11*B10*B12*B13/(1024*1024)</f>
        <v/>
      </c>
      <c r="C14" s="6">
        <f>2*C9*C11*C10*C12*C13/(1024*1024)</f>
        <v/>
      </c>
      <c r="D14" s="5" t="inlineStr">
        <is>
          <t>2 * layers * kv_heads * head_dim * seq_len * dtype / 1024^2</t>
        </is>
      </c>
    </row>
    <row r="16">
      <c r="A16" s="7" t="inlineStr">
        <is>
          <t>--- Throughput &amp; Concurrency ---</t>
        </is>
      </c>
      <c r="B16" s="7" t="n"/>
      <c r="C16" s="7" t="n"/>
      <c r="D16" s="7" t="n"/>
    </row>
    <row r="17">
      <c r="A17" s="4" t="inlineStr">
        <is>
          <t>[INPUT] Target RPM</t>
        </is>
      </c>
      <c r="B17" s="4" t="n">
        <v>1000</v>
      </c>
      <c r="C17" s="4" t="n">
        <v>1000</v>
      </c>
      <c r="D17" s="4" t="inlineStr">
        <is>
          <t>Throughput requirement</t>
        </is>
      </c>
    </row>
    <row r="18">
      <c r="A18" s="8" t="inlineStr">
        <is>
          <t>Target RPS</t>
        </is>
      </c>
      <c r="B18" s="9">
        <f>B17/60</f>
        <v/>
      </c>
      <c r="C18" s="9">
        <f>C17/60</f>
        <v/>
      </c>
      <c r="D18" s="8" t="inlineStr">
        <is>
          <t>RPM / 60</t>
        </is>
      </c>
    </row>
    <row r="19">
      <c r="A19" s="4" t="inlineStr">
        <is>
          <t>[INPUT] Average latency (sec)</t>
        </is>
      </c>
      <c r="B19" s="4" t="n">
        <v>2</v>
      </c>
      <c r="C19" s="4" t="n">
        <v>2</v>
      </c>
      <c r="D19" s="4" t="inlineStr">
        <is>
          <t>Expected inference latency per request</t>
        </is>
      </c>
    </row>
    <row r="20">
      <c r="A20" s="8" t="inlineStr">
        <is>
          <t>Concurrency (simultaneous requests)</t>
        </is>
      </c>
      <c r="B20" s="8">
        <f>ROUND(B18*B19,0)</f>
        <v/>
      </c>
      <c r="C20" s="8">
        <f>ROUND(C18*C19,0)</f>
        <v/>
      </c>
      <c r="D20" s="8" t="inlineStr">
        <is>
          <t>RPS * Latency (Little's Law)</t>
        </is>
      </c>
    </row>
    <row r="21">
      <c r="A21" s="5" t="inlineStr">
        <is>
          <t>KV Cache total (GiB)</t>
        </is>
      </c>
      <c r="B21" s="6">
        <f>B14*B20/1024</f>
        <v/>
      </c>
      <c r="C21" s="6">
        <f>C14*C20/1024</f>
        <v/>
      </c>
      <c r="D21" s="5" t="inlineStr">
        <is>
          <t>KV_per_request_MiB * concurrency / 1024</t>
        </is>
      </c>
    </row>
    <row r="23">
      <c r="A23" s="10" t="inlineStr">
        <is>
          <t>TOTAL VRAM (GiB)</t>
        </is>
      </c>
      <c r="B23" s="11">
        <f>B6+B21</f>
        <v/>
      </c>
      <c r="C23" s="11">
        <f>C6+C21</f>
        <v/>
      </c>
      <c r="D23" s="10" t="inlineStr">
        <is>
          <t>Model_GiB + KV_total_GiB</t>
        </is>
      </c>
    </row>
    <row r="26">
      <c r="A26" s="1" t="inlineStr">
        <is>
          <t>GPU CATALOGUE</t>
        </is>
      </c>
    </row>
    <row r="27">
      <c r="A27" s="2" t="inlineStr">
        <is>
          <t>Edit VRAM / TFLOPS to match your hardware; GPU requirement formulas reference these cells</t>
        </is>
      </c>
    </row>
    <row r="28">
      <c r="A28" s="3" t="inlineStr">
        <is>
          <t>GPU</t>
        </is>
      </c>
      <c r="B28" s="3" t="inlineStr">
        <is>
          <t>VRAM (GiB)</t>
        </is>
      </c>
      <c r="C28" s="3" t="inlineStr">
        <is>
          <t>FP16 TFLOPS</t>
        </is>
      </c>
      <c r="D28" s="3" t="inlineStr">
        <is>
          <t>Note</t>
        </is>
      </c>
    </row>
    <row r="29">
      <c r="A29" s="4" t="inlineStr">
        <is>
          <t>NVIDIA A100 80 GiB (SXM)</t>
        </is>
      </c>
      <c r="B29" s="4" t="n">
        <v>80</v>
      </c>
      <c r="C29" s="4" t="n">
        <v>312</v>
      </c>
      <c r="D29" s="4" t="inlineStr">
        <is>
          <t>Best for large models</t>
        </is>
      </c>
    </row>
    <row r="30">
      <c r="A30" s="4" t="inlineStr">
        <is>
          <t>NVIDIA A100 40 GiB (PCIe)</t>
        </is>
      </c>
      <c r="B30" s="4" t="n">
        <v>40</v>
      </c>
      <c r="C30" s="4" t="n">
        <v>312</v>
      </c>
      <c r="D30" s="4" t="inlineStr">
        <is>
          <t>VRAM-limited</t>
        </is>
      </c>
    </row>
    <row r="31">
      <c r="A31" s="4" t="inlineStr">
        <is>
          <t>NVIDIA T4 16 GiB</t>
        </is>
      </c>
      <c r="B31" s="4" t="n">
        <v>16</v>
      </c>
      <c r="C31" s="4" t="n">
        <v>65</v>
      </c>
      <c r="D31" s="4" t="inlineStr">
        <is>
          <t>Budget inference</t>
        </is>
      </c>
    </row>
    <row r="32">
      <c r="A32" s="4" t="inlineStr">
        <is>
          <t>NVIDIA L4 24 GiB</t>
        </is>
      </c>
      <c r="B32" s="4" t="n">
        <v>24</v>
      </c>
      <c r="C32" s="4" t="n">
        <v>121</v>
      </c>
      <c r="D32" s="4" t="inlineStr">
        <is>
          <t>Inference-optimized</t>
        </is>
      </c>
    </row>
    <row r="33">
      <c r="A33" s="4" t="inlineStr">
        <is>
          <t>NVIDIA H100 80 GiB (SXM)</t>
        </is>
      </c>
      <c r="B33" s="4" t="n">
        <v>80</v>
      </c>
      <c r="C33" s="4" t="n">
        <v>990</v>
      </c>
      <c r="D33" s="4" t="inlineStr">
        <is>
          <t>Top-tier performance</t>
        </is>
      </c>
    </row>
    <row r="35">
      <c r="A35" s="1" t="inlineStr">
        <is>
          <t>GPU REQUIREMENTS</t>
        </is>
      </c>
    </row>
    <row r="36">
      <c r="A36" s="2" t="inlineStr">
        <is>
          <t>GPUs/replica = CEILING(Total VRAM / GPU VRAM from catalogue); Replicas = user input</t>
        </is>
      </c>
    </row>
    <row r="37">
      <c r="A37" s="3" t="inlineStr">
        <is>
          <t>Configuration</t>
        </is>
      </c>
      <c r="B37" s="3" t="inlineStr">
        <is>
          <t>GPUs per replica</t>
        </is>
      </c>
      <c r="C37" s="3" t="inlineStr">
        <is>
          <t>[INPUT] Replicas</t>
        </is>
      </c>
      <c r="D37" s="3" t="inlineStr">
        <is>
          <t>Total GPUs</t>
        </is>
      </c>
      <c r="E37" s="3" t="inlineStr">
        <is>
          <t>Note</t>
        </is>
      </c>
    </row>
    <row r="38">
      <c r="A38" s="8" t="inlineStr">
        <is>
          <t>FP16 on A100-80 GiB</t>
        </is>
      </c>
      <c r="B38" s="8">
        <f>CEILING(B23/B29,1)</f>
        <v/>
      </c>
      <c r="C38" s="4" t="n">
        <v>6</v>
      </c>
      <c r="D38" s="8">
        <f>B38*C38</f>
        <v/>
      </c>
      <c r="E38" s="8" t="inlineStr">
        <is>
          <t>Tensor Parallel across GPUs</t>
        </is>
      </c>
    </row>
    <row r="39">
      <c r="A39" s="8" t="inlineStr">
        <is>
          <t>FP16 on A100-40 GiB</t>
        </is>
      </c>
      <c r="B39" s="8">
        <f>CEILING(B23/B30,1)</f>
        <v/>
      </c>
      <c r="C39" s="4" t="n">
        <v>6</v>
      </c>
      <c r="D39" s="8">
        <f>B39*C39</f>
        <v/>
      </c>
      <c r="E39" s="8" t="inlineStr">
        <is>
          <t>Too many GPUs, inefficient</t>
        </is>
      </c>
    </row>
    <row r="40">
      <c r="A40" s="8" t="inlineStr">
        <is>
          <t>FP16 on L4-24 GiB</t>
        </is>
      </c>
      <c r="B40" s="8">
        <f>CEILING(B23/B32,1)</f>
        <v/>
      </c>
      <c r="C40" s="4" t="n">
        <v>6</v>
      </c>
      <c r="D40" s="8">
        <f>B40*C40</f>
        <v/>
      </c>
      <c r="E40" s="8" t="inlineStr">
        <is>
          <t>Very complex configuration</t>
        </is>
      </c>
    </row>
    <row r="41">
      <c r="A41" s="12" t="inlineStr">
        <is>
          <t>INT4 on A100-80 GiB</t>
        </is>
      </c>
      <c r="B41" s="12">
        <f>CEILING(C23/B29,1)</f>
        <v/>
      </c>
      <c r="C41" s="4" t="n">
        <v>4</v>
      </c>
      <c r="D41" s="12">
        <f>B41*C41</f>
        <v/>
      </c>
      <c r="E41" s="12" t="inlineStr">
        <is>
          <t>Fits on 1 GPU; 4 replicas enough</t>
        </is>
      </c>
    </row>
    <row r="42">
      <c r="A42" s="8" t="inlineStr">
        <is>
          <t>INT4 on L4-24 GiB</t>
        </is>
      </c>
      <c r="B42" s="8">
        <f>CEILING(C23/B32,1)</f>
        <v/>
      </c>
      <c r="C42" s="4" t="n">
        <v>5</v>
      </c>
      <c r="D42" s="8">
        <f>B42*C42</f>
        <v/>
      </c>
      <c r="E42" s="8" t="inlineStr">
        <is>
          <t>2 GPUs in TP; 5 replicas</t>
        </is>
      </c>
    </row>
    <row r="43">
      <c r="A43" s="13" t="inlineStr">
        <is>
          <t>INT4 on T4-16 GiB</t>
        </is>
      </c>
      <c r="B43" s="13">
        <f>CEILING(C23/B31,1)</f>
        <v/>
      </c>
      <c r="C43" s="4" t="n">
        <v>6</v>
      </c>
      <c r="D43" s="13">
        <f>B43*C43</f>
        <v/>
      </c>
      <c r="E43" s="13" t="inlineStr">
        <is>
          <t>Low throughput; not recommended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</cols>
  <sheetData>
    <row r="1">
      <c r="A1" s="1" t="inlineStr">
        <is>
          <t>CLOUD COST COMPARISON</t>
        </is>
      </c>
    </row>
    <row r="2">
      <c r="A2" s="2" t="inlineStr">
        <is>
          <t>Yellow cells = user inputs; blue cells = computed formulas</t>
        </is>
      </c>
    </row>
    <row r="3">
      <c r="A3" s="14" t="inlineStr">
        <is>
          <t>Yandex Cloud - GPU Instances (price per 1 GPU/hour)</t>
        </is>
      </c>
    </row>
    <row r="4">
      <c r="A4" s="3" t="inlineStr">
        <is>
          <t>GPU</t>
        </is>
      </c>
      <c r="B4" s="3" t="inlineStr">
        <is>
          <t>VRAM (GiB)</t>
        </is>
      </c>
      <c r="C4" s="3" t="inlineStr">
        <is>
          <t>Price (RUB/hr)</t>
        </is>
      </c>
      <c r="D4" s="3" t="inlineStr">
        <is>
          <t>Price (USD/hr)</t>
        </is>
      </c>
      <c r="E4" s="3" t="inlineStr">
        <is>
          <t>Note</t>
        </is>
      </c>
    </row>
    <row r="5">
      <c r="A5" s="4" t="inlineStr">
        <is>
          <t>NVIDIA A100 80 GiB</t>
        </is>
      </c>
      <c r="B5" s="4" t="n">
        <v>80</v>
      </c>
      <c r="C5" s="4" t="n">
        <v>538</v>
      </c>
      <c r="D5" s="6">
        <f>C5/$B$9</f>
        <v/>
      </c>
      <c r="E5" s="4" t="inlineStr">
        <is>
          <t>gpu-standard-v3</t>
        </is>
      </c>
    </row>
    <row r="6">
      <c r="A6" s="4" t="inlineStr">
        <is>
          <t>NVIDIA T4 16 GiB</t>
        </is>
      </c>
      <c r="B6" s="4" t="n">
        <v>16</v>
      </c>
      <c r="C6" s="4" t="n">
        <v>134</v>
      </c>
      <c r="D6" s="6">
        <f>C6/$B$9</f>
        <v/>
      </c>
      <c r="E6" s="4" t="inlineStr">
        <is>
          <t>g1/g2 series</t>
        </is>
      </c>
    </row>
    <row r="7">
      <c r="A7" s="4" t="inlineStr">
        <is>
          <t>NVIDIA L4 24 GiB</t>
        </is>
      </c>
      <c r="B7" s="4" t="n">
        <v>24</v>
      </c>
      <c r="C7" s="4" t="n">
        <v>201</v>
      </c>
      <c r="D7" s="6">
        <f>C7/$B$9</f>
        <v/>
      </c>
      <c r="E7" s="4" t="inlineStr">
        <is>
          <t>Available in some zones</t>
        </is>
      </c>
    </row>
    <row r="9">
      <c r="A9" s="4" t="inlineStr">
        <is>
          <t>[INPUT] Exchange rate (RUB per USD)</t>
        </is>
      </c>
      <c r="B9" s="4" t="n">
        <v>90</v>
      </c>
    </row>
    <row r="10">
      <c r="A10" s="14" t="inlineStr">
        <is>
          <t>Cloud.ru (SberCloud) - GPU Instances (price per 1 GPU/hour)</t>
        </is>
      </c>
    </row>
    <row r="11">
      <c r="A11" s="3" t="inlineStr">
        <is>
          <t>GPU</t>
        </is>
      </c>
      <c r="B11" s="3" t="inlineStr">
        <is>
          <t>VRAM (GiB)</t>
        </is>
      </c>
      <c r="C11" s="3" t="inlineStr">
        <is>
          <t>Price (RUB/hr)</t>
        </is>
      </c>
      <c r="D11" s="3" t="inlineStr">
        <is>
          <t>Price (USD/hr)</t>
        </is>
      </c>
      <c r="E11" s="3" t="inlineStr">
        <is>
          <t>Note</t>
        </is>
      </c>
    </row>
    <row r="12">
      <c r="A12" s="4" t="inlineStr">
        <is>
          <t>NVIDIA A100 80 GiB</t>
        </is>
      </c>
      <c r="B12" s="4" t="n">
        <v>80</v>
      </c>
      <c r="C12" s="4" t="n">
        <v>490</v>
      </c>
      <c r="D12" s="6">
        <f>C12/$B$9</f>
        <v/>
      </c>
      <c r="E12" s="4" t="inlineStr">
        <is>
          <t>ML Space / Evolution</t>
        </is>
      </c>
    </row>
    <row r="13">
      <c r="A13" s="4" t="inlineStr">
        <is>
          <t>NVIDIA T4 16 GiB</t>
        </is>
      </c>
      <c r="B13" s="4" t="n">
        <v>16</v>
      </c>
      <c r="C13" s="4" t="n">
        <v>120</v>
      </c>
      <c r="D13" s="6">
        <f>C13/$B$9</f>
        <v/>
      </c>
      <c r="E13" s="4" t="inlineStr">
        <is>
          <t>Basic GPU instance</t>
        </is>
      </c>
    </row>
    <row r="14">
      <c r="A14" s="4" t="inlineStr">
        <is>
          <t>NVIDIA L4 24 GiB</t>
        </is>
      </c>
      <c r="B14" s="4" t="n">
        <v>24</v>
      </c>
      <c r="C14" s="4" t="n">
        <v>185</v>
      </c>
      <c r="D14" s="6">
        <f>C14/$B$9</f>
        <v/>
      </c>
      <c r="E14" s="4" t="inlineStr">
        <is>
          <t>Inference-optimized</t>
        </is>
      </c>
    </row>
    <row r="17">
      <c r="A17" s="1" t="inlineStr">
        <is>
          <t>MONTHLY COST BY CONFIGURATION</t>
        </is>
      </c>
    </row>
    <row r="18">
      <c r="A18" s="4" t="inlineStr">
        <is>
          <t>[INPUT] Hours per month:</t>
        </is>
      </c>
      <c r="B18" s="4" t="n">
        <v>730</v>
      </c>
    </row>
    <row r="20">
      <c r="A20" s="3" t="inlineStr">
        <is>
          <t>Configuration</t>
        </is>
      </c>
      <c r="B20" s="3" t="inlineStr">
        <is>
          <t>Num GPUs</t>
        </is>
      </c>
      <c r="C20" s="3" t="inlineStr">
        <is>
          <t>Yandex Cloud (RUB/mo)</t>
        </is>
      </c>
      <c r="D20" s="3" t="inlineStr">
        <is>
          <t>Cloud.ru (RUB/mo)</t>
        </is>
      </c>
      <c r="E20" s="3" t="inlineStr">
        <is>
          <t>Difference (RUB)</t>
        </is>
      </c>
      <c r="F20" s="3" t="inlineStr">
        <is>
          <t>Note</t>
        </is>
      </c>
    </row>
    <row r="21">
      <c r="A21" s="8" t="inlineStr">
        <is>
          <t>FP16, A100-80 GiB</t>
        </is>
      </c>
      <c r="B21" s="15">
        <f>'1. Hardware Sizing'!D38</f>
        <v/>
      </c>
      <c r="C21" s="15">
        <f>B21*C5*$B$18</f>
        <v/>
      </c>
      <c r="D21" s="15">
        <f>B21*C12*$B$18</f>
        <v/>
      </c>
      <c r="E21" s="15">
        <f>C21-D21</f>
        <v/>
      </c>
      <c r="F21" s="8" t="inlineStr">
        <is>
          <t>GPUs from Sheet 1 (edit replicas there)</t>
        </is>
      </c>
    </row>
    <row r="22">
      <c r="A22" s="12" t="inlineStr">
        <is>
          <t>INT4, A100-80 GiB</t>
        </is>
      </c>
      <c r="B22" s="16">
        <f>'1. Hardware Sizing'!D41</f>
        <v/>
      </c>
      <c r="C22" s="16">
        <f>B22*C5*$B$18</f>
        <v/>
      </c>
      <c r="D22" s="16">
        <f>B22*C12*$B$18</f>
        <v/>
      </c>
      <c r="E22" s="16">
        <f>C22-D22</f>
        <v/>
      </c>
      <c r="F22" s="12" t="inlineStr">
        <is>
          <t>OPTIMUM - edit replicas on Sheet 1</t>
        </is>
      </c>
    </row>
    <row r="23">
      <c r="A23" s="8" t="inlineStr">
        <is>
          <t>INT4, L4-24 GiB</t>
        </is>
      </c>
      <c r="B23" s="15">
        <f>'1. Hardware Sizing'!D42</f>
        <v/>
      </c>
      <c r="C23" s="15">
        <f>B23*C7*$B$18</f>
        <v/>
      </c>
      <c r="D23" s="15">
        <f>B23*C14*$B$18</f>
        <v/>
      </c>
      <c r="E23" s="15">
        <f>C23-D23</f>
        <v/>
      </c>
      <c r="F23" s="8" t="inlineStr">
        <is>
          <t>GPUs from Sheet 1 (edit replicas there)</t>
        </is>
      </c>
    </row>
    <row r="24">
      <c r="A24" s="8" t="inlineStr">
        <is>
          <t>INT4, T4-16 GiB</t>
        </is>
      </c>
      <c r="B24" s="15">
        <f>'1. Hardware Sizing'!D43</f>
        <v/>
      </c>
      <c r="C24" s="15">
        <f>B24*C6*$B$18</f>
        <v/>
      </c>
      <c r="D24" s="15">
        <f>B24*C13*$B$18</f>
        <v/>
      </c>
      <c r="E24" s="15">
        <f>C24-D24</f>
        <v/>
      </c>
      <c r="F24" s="8" t="inlineStr">
        <is>
          <t>GPUs from Sheet 1 (edit replicas there)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40" customWidth="1" min="4" max="4"/>
  </cols>
  <sheetData>
    <row r="1">
      <c r="A1" s="1" t="inlineStr">
        <is>
          <t>OPTIMIZATION: BATCHING &amp; vLLM</t>
        </is>
      </c>
    </row>
    <row r="3">
      <c r="A3" s="14" t="inlineStr">
        <is>
          <t>Optimization techniques</t>
        </is>
      </c>
    </row>
    <row r="4">
      <c r="A4" s="3" t="inlineStr">
        <is>
          <t>Technique</t>
        </is>
      </c>
      <c r="B4" s="3" t="inlineStr">
        <is>
          <t>Throughput gain</t>
        </is>
      </c>
      <c r="C4" s="3" t="inlineStr">
        <is>
          <t>Cost reduction</t>
        </is>
      </c>
      <c r="D4" s="3" t="inlineStr">
        <is>
          <t>Description</t>
        </is>
      </c>
    </row>
    <row r="5">
      <c r="A5" s="8" t="inlineStr">
        <is>
          <t>Continuous Batching</t>
        </is>
      </c>
      <c r="B5" s="8" t="inlineStr">
        <is>
          <t>2-4x</t>
        </is>
      </c>
      <c r="C5" s="8" t="inlineStr">
        <is>
          <t>50-75%</t>
        </is>
      </c>
      <c r="D5" s="8" t="inlineStr">
        <is>
          <t>Batch requests dynamically; GPU util 30% -&gt; 80%+</t>
        </is>
      </c>
    </row>
    <row r="6">
      <c r="A6" s="8" t="inlineStr">
        <is>
          <t>vLLM (PagedAttention)</t>
        </is>
      </c>
      <c r="B6" s="8" t="inlineStr">
        <is>
          <t>2-5x</t>
        </is>
      </c>
      <c r="C6" s="8" t="inlineStr">
        <is>
          <t>50-80%</t>
        </is>
      </c>
      <c r="D6" s="8" t="inlineStr">
        <is>
          <t>Efficient KV Cache management; eliminates fragmentation</t>
        </is>
      </c>
    </row>
    <row r="7">
      <c r="A7" s="8" t="inlineStr">
        <is>
          <t>vLLM + Continuous Batching</t>
        </is>
      </c>
      <c r="B7" s="8" t="inlineStr">
        <is>
          <t>3-6x</t>
        </is>
      </c>
      <c r="C7" s="8" t="inlineStr">
        <is>
          <t>65-85%</t>
        </is>
      </c>
      <c r="D7" s="8" t="inlineStr">
        <is>
          <t>Combined: PagedAttention + dynamic batching</t>
        </is>
      </c>
    </row>
    <row r="8">
      <c r="A8" s="8" t="inlineStr">
        <is>
          <t>Speculative Decoding</t>
        </is>
      </c>
      <c r="B8" s="8" t="inlineStr">
        <is>
          <t>1.5-2.5x</t>
        </is>
      </c>
      <c r="C8" s="8" t="inlineStr">
        <is>
          <t>30-60%</t>
        </is>
      </c>
      <c r="D8" s="8" t="inlineStr">
        <is>
          <t>Draft model generates candidates, main verifies</t>
        </is>
      </c>
    </row>
    <row r="9">
      <c r="A9" s="8" t="inlineStr">
        <is>
          <t>INT4 quantization (GPTQ/AWQ)</t>
        </is>
      </c>
      <c r="B9" s="8" t="inlineStr">
        <is>
          <t>1.5-2x</t>
        </is>
      </c>
      <c r="C9" s="8" t="inlineStr">
        <is>
          <t>50-70%</t>
        </is>
      </c>
      <c r="D9" s="8" t="inlineStr">
        <is>
          <t>4x less VRAM; fewer GPUs needed</t>
        </is>
      </c>
    </row>
    <row r="12">
      <c r="A12" s="1" t="inlineStr">
        <is>
          <t>COST FORECAST WITH OPTIMIZATION</t>
        </is>
      </c>
    </row>
    <row r="13">
      <c r="A13" s="8" t="inlineStr">
        <is>
          <t>Cloud.ru A100 price (RUB/hr):</t>
        </is>
      </c>
      <c r="B13" s="17">
        <f>'2. Cloud Comparison'!C12</f>
        <v/>
      </c>
      <c r="C13" s="8" t="inlineStr">
        <is>
          <t>Hours/month:</t>
        </is>
      </c>
      <c r="D13" s="5">
        <f>'2. Cloud Comparison'!B18</f>
        <v/>
      </c>
    </row>
    <row r="15">
      <c r="A15" s="3" t="inlineStr">
        <is>
          <t>Scenario</t>
        </is>
      </c>
      <c r="B15" s="3" t="inlineStr">
        <is>
          <t>[INPUT] Num GPUs</t>
        </is>
      </c>
      <c r="C15" s="3" t="inlineStr">
        <is>
          <t>Cost (RUB/mo)</t>
        </is>
      </c>
      <c r="D15" s="3" t="inlineStr">
        <is>
          <t>Savings vs Baseline</t>
        </is>
      </c>
    </row>
    <row r="16">
      <c r="A16" s="8" t="inlineStr">
        <is>
          <t>Baseline (from Sheet 1: INT4, A100-80)</t>
        </is>
      </c>
      <c r="B16" s="5">
        <f>'1. Hardware Sizing'!D41</f>
        <v/>
      </c>
      <c r="C16" s="15">
        <f>B16*$B$13*$D$13</f>
        <v/>
      </c>
      <c r="D16" s="8" t="inlineStr">
        <is>
          <t>---</t>
        </is>
      </c>
    </row>
    <row r="17">
      <c r="A17" s="8" t="inlineStr">
        <is>
          <t>[INPUT] + Continuous Batching</t>
        </is>
      </c>
      <c r="B17" s="4" t="n">
        <v>3</v>
      </c>
      <c r="C17" s="15">
        <f>B17*$B$13*$D$13</f>
        <v/>
      </c>
      <c r="D17" s="18">
        <f>1-C17/C16</f>
        <v/>
      </c>
    </row>
    <row r="18">
      <c r="A18" s="8" t="inlineStr">
        <is>
          <t>[INPUT] + vLLM (PagedAttention)</t>
        </is>
      </c>
      <c r="B18" s="4" t="n">
        <v>2</v>
      </c>
      <c r="C18" s="15">
        <f>B18*$B$13*$D$13</f>
        <v/>
      </c>
      <c r="D18" s="18">
        <f>1-C18/C16</f>
        <v/>
      </c>
    </row>
    <row r="19">
      <c r="A19" s="12" t="inlineStr">
        <is>
          <t>[INPUT] + vLLM + Batching + INT4</t>
        </is>
      </c>
      <c r="B19" s="4" t="n">
        <v>2</v>
      </c>
      <c r="C19" s="16">
        <f>B19*$B$13*$D$13</f>
        <v/>
      </c>
      <c r="D19" s="19">
        <f>1-C19/C16</f>
        <v/>
      </c>
    </row>
    <row r="21">
      <c r="A21" s="20" t="inlineStr">
        <is>
          <t>KEY INSIGHT:</t>
        </is>
      </c>
    </row>
    <row r="22">
      <c r="A22" s="21" t="inlineStr">
        <is>
          <t>Adjust GPU counts above to model your optimization scenario. Cost and savings update automatically.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RECOMMENDATION DASHBOARD</t>
        </is>
      </c>
    </row>
    <row r="2">
      <c r="A2" s="2" t="inlineStr">
        <is>
          <t>All numeric values update automatically from Sheets 1-3</t>
        </is>
      </c>
    </row>
    <row r="3">
      <c r="A3" s="3" t="inlineStr">
        <is>
          <t>Parameter</t>
        </is>
      </c>
      <c r="B3" s="3" t="inlineStr">
        <is>
          <t>Value</t>
        </is>
      </c>
    </row>
    <row r="4">
      <c r="A4" s="22" t="inlineStr">
        <is>
          <t>--- VRAM Summary ---</t>
        </is>
      </c>
      <c r="B4" s="22" t="n"/>
    </row>
    <row r="5">
      <c r="A5" s="8" t="inlineStr">
        <is>
          <t>Total VRAM: FP16 (GiB)</t>
        </is>
      </c>
      <c r="B5" s="9">
        <f>'1. Hardware Sizing'!B23</f>
        <v/>
      </c>
    </row>
    <row r="6">
      <c r="A6" s="8" t="inlineStr">
        <is>
          <t>Total VRAM: INT4 (GiB)</t>
        </is>
      </c>
      <c r="B6" s="9">
        <f>'1. Hardware Sizing'!C23</f>
        <v/>
      </c>
    </row>
    <row r="7">
      <c r="A7" s="5" t="inlineStr">
        <is>
          <t>VRAM reduction (FP16 / INT4)</t>
        </is>
      </c>
      <c r="B7" s="23">
        <f>'1. Hardware Sizing'!B23/'1. Hardware Sizing'!C23</f>
        <v/>
      </c>
    </row>
    <row r="9">
      <c r="A9" s="22" t="inlineStr">
        <is>
          <t>--- GPU Requirements (INT4, A100-80) ---</t>
        </is>
      </c>
      <c r="B9" s="22" t="n"/>
    </row>
    <row r="10">
      <c r="A10" s="8" t="inlineStr">
        <is>
          <t>GPUs per replica</t>
        </is>
      </c>
      <c r="B10" s="8">
        <f>'1. Hardware Sizing'!B41</f>
        <v/>
      </c>
    </row>
    <row r="11">
      <c r="A11" s="8" t="inlineStr">
        <is>
          <t>Replicas</t>
        </is>
      </c>
      <c r="B11" s="8">
        <f>'1. Hardware Sizing'!C41</f>
        <v/>
      </c>
    </row>
    <row r="12">
      <c r="A12" s="5" t="inlineStr">
        <is>
          <t>Total GPUs</t>
        </is>
      </c>
      <c r="B12" s="5">
        <f>'1. Hardware Sizing'!D41</f>
        <v/>
      </c>
    </row>
    <row r="14">
      <c r="A14" s="22" t="inlineStr">
        <is>
          <t>--- Monthly Cost (Cloud.ru, RUB) ---</t>
        </is>
      </c>
      <c r="B14" s="22" t="n"/>
    </row>
    <row r="15">
      <c r="A15" s="8" t="inlineStr">
        <is>
          <t>Cost: no optimization</t>
        </is>
      </c>
      <c r="B15" s="15">
        <f>'3. Optimization'!C16</f>
        <v/>
      </c>
    </row>
    <row r="16">
      <c r="A16" s="12" t="inlineStr">
        <is>
          <t>Cost: with vLLM + Batching + INT4</t>
        </is>
      </c>
      <c r="B16" s="16">
        <f>'3. Optimization'!C19</f>
        <v/>
      </c>
    </row>
    <row r="17">
      <c r="A17" s="12" t="inlineStr">
        <is>
          <t>Savings (RUB/month)</t>
        </is>
      </c>
      <c r="B17" s="16">
        <f>'3. Optimization'!C16-'3. Optimization'!C19</f>
        <v/>
      </c>
    </row>
    <row r="18">
      <c r="A18" s="12" t="inlineStr">
        <is>
          <t>Savings %</t>
        </is>
      </c>
      <c r="B18" s="19">
        <f>'3. Optimization'!D19</f>
        <v/>
      </c>
    </row>
    <row r="20">
      <c r="A20" s="22" t="inlineStr">
        <is>
          <t>--- Qualitative Recommendations ---</t>
        </is>
      </c>
      <c r="B20" s="22" t="n"/>
    </row>
    <row r="21">
      <c r="A21" s="8" t="inlineStr">
        <is>
          <t>Inference Engine</t>
        </is>
      </c>
      <c r="B21" s="8" t="inlineStr">
        <is>
          <t>vLLM with PagedAttention + Continuous Batching</t>
        </is>
      </c>
    </row>
    <row r="22">
      <c r="A22" s="8" t="inlineStr">
        <is>
          <t>Quantization</t>
        </is>
      </c>
      <c r="B22" s="8" t="inlineStr">
        <is>
          <t>INT4 (GPTQ or AWQ)</t>
        </is>
      </c>
    </row>
    <row r="23">
      <c r="A23" s="8" t="inlineStr">
        <is>
          <t>Quality impact</t>
        </is>
      </c>
      <c r="B23" s="8" t="inlineStr">
        <is>
          <t>INT4 (AWQ/GPTQ) quality loss &lt;1% on benchmarks</t>
        </is>
      </c>
    </row>
    <row r="24">
      <c r="A24" s="8" t="inlineStr">
        <is>
          <t>Cloud provider</t>
        </is>
      </c>
      <c r="B24" s="8" t="inlineStr">
        <is>
          <t>Cloud.ru (SberCloud) - compare on Sheet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2026-03-20T08:02:28Z</dcterms:created>
  <dcterms:modified xsi:type="dcterms:W3CDTF">2026-03-20T08:02:28Z</dcterms:modified>
</cp:coreProperties>
</file>